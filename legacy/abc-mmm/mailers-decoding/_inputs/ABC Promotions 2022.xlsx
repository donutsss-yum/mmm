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Reporting/Email Reports/2022/"/>
    </mc:Choice>
  </mc:AlternateContent>
  <xr:revisionPtr revIDLastSave="23" documentId="8_{727C2879-61E0-4792-8F1A-FA32A27122D8}" xr6:coauthVersionLast="47" xr6:coauthVersionMax="47" xr10:uidLastSave="{475A94EA-3122-48D5-B1E9-FBF3AD3912F6}"/>
  <bookViews>
    <workbookView xWindow="6840" yWindow="312" windowWidth="16092" windowHeight="12360" firstSheet="11" activeTab="11" xr2:uid="{7B7B8701-3173-42C6-8A70-14DB2644476F}"/>
  </bookViews>
  <sheets>
    <sheet name="Dec 2022" sheetId="1" r:id="rId1"/>
    <sheet name="Nov 2022" sheetId="2" r:id="rId2"/>
    <sheet name="Oct 2022" sheetId="3" r:id="rId3"/>
    <sheet name="Sept 2022" sheetId="4" r:id="rId4"/>
    <sheet name="Aug 2022" sheetId="5" r:id="rId5"/>
    <sheet name="July 2022" sheetId="6" r:id="rId6"/>
    <sheet name="June 2022" sheetId="7" r:id="rId7"/>
    <sheet name="May 2022" sheetId="8" r:id="rId8"/>
    <sheet name="April 2022" sheetId="9" r:id="rId9"/>
    <sheet name="March 2022" sheetId="10" r:id="rId10"/>
    <sheet name="Feb 2022" sheetId="11" r:id="rId11"/>
    <sheet name="Jan 2022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2" l="1"/>
  <c r="G5" i="12"/>
  <c r="G6" i="12"/>
  <c r="B7" i="12"/>
  <c r="C7" i="12"/>
  <c r="D7" i="12"/>
  <c r="E7" i="12"/>
  <c r="G7" i="12"/>
  <c r="G9" i="12"/>
  <c r="C10" i="12"/>
  <c r="D10" i="12"/>
  <c r="E10" i="12"/>
  <c r="G10" i="12"/>
  <c r="C11" i="12"/>
  <c r="D11" i="12"/>
  <c r="E11" i="12"/>
  <c r="G11" i="12"/>
  <c r="C12" i="12"/>
  <c r="D12" i="12"/>
  <c r="E12" i="12"/>
  <c r="G12" i="12"/>
  <c r="C14" i="12"/>
  <c r="D14" i="12"/>
  <c r="E14" i="12"/>
  <c r="G14" i="12"/>
  <c r="C15" i="12"/>
  <c r="D15" i="12"/>
  <c r="E15" i="12"/>
  <c r="G15" i="12"/>
  <c r="G20" i="12"/>
  <c r="G21" i="12"/>
  <c r="G22" i="12"/>
  <c r="L4" i="11" l="1"/>
  <c r="L5" i="11"/>
  <c r="L6" i="11"/>
  <c r="B7" i="11"/>
  <c r="L7" i="11" s="1"/>
  <c r="C7" i="11"/>
  <c r="D7" i="11"/>
  <c r="E7" i="11"/>
  <c r="F7" i="11"/>
  <c r="G7" i="11"/>
  <c r="H7" i="11"/>
  <c r="I7" i="11"/>
  <c r="J7" i="11"/>
  <c r="L9" i="11"/>
  <c r="B10" i="11"/>
  <c r="L10" i="11" s="1"/>
  <c r="C10" i="11"/>
  <c r="D10" i="11"/>
  <c r="G10" i="11"/>
  <c r="H10" i="11"/>
  <c r="I10" i="11"/>
  <c r="J10" i="11"/>
  <c r="B11" i="11"/>
  <c r="L11" i="11" s="1"/>
  <c r="C11" i="11"/>
  <c r="D11" i="11"/>
  <c r="G11" i="11"/>
  <c r="H11" i="11"/>
  <c r="I11" i="11"/>
  <c r="J11" i="11"/>
  <c r="B12" i="11"/>
  <c r="L12" i="11" s="1"/>
  <c r="C12" i="11"/>
  <c r="D12" i="11"/>
  <c r="G12" i="11"/>
  <c r="H12" i="11"/>
  <c r="I12" i="11"/>
  <c r="J12" i="11"/>
  <c r="B14" i="11"/>
  <c r="L14" i="11" s="1"/>
  <c r="C14" i="11"/>
  <c r="D14" i="11"/>
  <c r="G14" i="11"/>
  <c r="H14" i="11"/>
  <c r="I14" i="11"/>
  <c r="J14" i="11"/>
  <c r="B15" i="11"/>
  <c r="L15" i="11" s="1"/>
  <c r="C15" i="11"/>
  <c r="D15" i="11"/>
  <c r="G15" i="11"/>
  <c r="H15" i="11"/>
  <c r="I15" i="11"/>
  <c r="J15" i="11"/>
  <c r="L20" i="11"/>
  <c r="L21" i="11"/>
  <c r="L22" i="11"/>
  <c r="K4" i="10" l="1"/>
  <c r="K5" i="10"/>
  <c r="K6" i="10"/>
  <c r="C7" i="10"/>
  <c r="K7" i="10" s="1"/>
  <c r="D7" i="10"/>
  <c r="E7" i="10"/>
  <c r="F7" i="10"/>
  <c r="G7" i="10"/>
  <c r="H7" i="10"/>
  <c r="I7" i="10"/>
  <c r="K9" i="10"/>
  <c r="C10" i="10"/>
  <c r="D10" i="10"/>
  <c r="E10" i="10"/>
  <c r="G10" i="10"/>
  <c r="G14" i="10" s="1"/>
  <c r="H10" i="10"/>
  <c r="I10" i="10"/>
  <c r="C11" i="10"/>
  <c r="C15" i="10" s="1"/>
  <c r="D11" i="10"/>
  <c r="E11" i="10"/>
  <c r="G11" i="10"/>
  <c r="H11" i="10"/>
  <c r="H15" i="10" s="1"/>
  <c r="I11" i="10"/>
  <c r="C12" i="10"/>
  <c r="K12" i="10" s="1"/>
  <c r="D12" i="10"/>
  <c r="D15" i="10" s="1"/>
  <c r="E12" i="10"/>
  <c r="G12" i="10"/>
  <c r="H12" i="10"/>
  <c r="H14" i="10" s="1"/>
  <c r="I12" i="10"/>
  <c r="I14" i="10" s="1"/>
  <c r="E14" i="10"/>
  <c r="E15" i="10"/>
  <c r="G15" i="10"/>
  <c r="K20" i="10"/>
  <c r="K21" i="10"/>
  <c r="K22" i="10"/>
  <c r="D14" i="10" l="1"/>
  <c r="K10" i="10"/>
  <c r="I15" i="10"/>
  <c r="K15" i="10" s="1"/>
  <c r="C14" i="10"/>
  <c r="K11" i="10"/>
  <c r="N4" i="9"/>
  <c r="N5" i="9"/>
  <c r="N6" i="9"/>
  <c r="C7" i="9"/>
  <c r="N7" i="9" s="1"/>
  <c r="D7" i="9"/>
  <c r="E7" i="9"/>
  <c r="F7" i="9"/>
  <c r="G7" i="9"/>
  <c r="H7" i="9"/>
  <c r="I7" i="9"/>
  <c r="J7" i="9"/>
  <c r="K7" i="9"/>
  <c r="L7" i="9"/>
  <c r="N9" i="9"/>
  <c r="D10" i="9"/>
  <c r="N10" i="9" s="1"/>
  <c r="E10" i="9"/>
  <c r="F10" i="9"/>
  <c r="G10" i="9"/>
  <c r="J10" i="9"/>
  <c r="K10" i="9"/>
  <c r="L10" i="9"/>
  <c r="D11" i="9"/>
  <c r="N11" i="9" s="1"/>
  <c r="E11" i="9"/>
  <c r="F11" i="9"/>
  <c r="G11" i="9"/>
  <c r="J11" i="9"/>
  <c r="K11" i="9"/>
  <c r="L11" i="9"/>
  <c r="D12" i="9"/>
  <c r="N12" i="9" s="1"/>
  <c r="E12" i="9"/>
  <c r="F12" i="9"/>
  <c r="G12" i="9"/>
  <c r="J12" i="9"/>
  <c r="K12" i="9"/>
  <c r="L12" i="9"/>
  <c r="E14" i="9"/>
  <c r="F14" i="9"/>
  <c r="G14" i="9"/>
  <c r="J14" i="9"/>
  <c r="K14" i="9"/>
  <c r="L14" i="9"/>
  <c r="D15" i="9"/>
  <c r="N15" i="9" s="1"/>
  <c r="E15" i="9"/>
  <c r="F15" i="9"/>
  <c r="G15" i="9"/>
  <c r="J15" i="9"/>
  <c r="K15" i="9"/>
  <c r="L15" i="9"/>
  <c r="N20" i="9"/>
  <c r="N21" i="9"/>
  <c r="N22" i="9"/>
  <c r="K14" i="10" l="1"/>
  <c r="D14" i="9"/>
  <c r="N14" i="9" s="1"/>
  <c r="J4" i="8"/>
  <c r="J5" i="8"/>
  <c r="J6" i="8"/>
  <c r="B7" i="8"/>
  <c r="J7" i="8" s="1"/>
  <c r="C7" i="8"/>
  <c r="D7" i="8"/>
  <c r="G7" i="8"/>
  <c r="H7" i="8"/>
  <c r="J9" i="8"/>
  <c r="C10" i="8"/>
  <c r="D10" i="8"/>
  <c r="J10" i="8" s="1"/>
  <c r="G10" i="8"/>
  <c r="H10" i="8"/>
  <c r="C11" i="8"/>
  <c r="C15" i="8" s="1"/>
  <c r="D11" i="8"/>
  <c r="G11" i="8"/>
  <c r="H11" i="8"/>
  <c r="J11" i="8"/>
  <c r="C12" i="8"/>
  <c r="C14" i="8" s="1"/>
  <c r="D12" i="8"/>
  <c r="G12" i="8"/>
  <c r="H12" i="8"/>
  <c r="J12" i="8" s="1"/>
  <c r="G14" i="8"/>
  <c r="D15" i="8"/>
  <c r="G15" i="8"/>
  <c r="J20" i="8"/>
  <c r="J21" i="8"/>
  <c r="J22" i="8"/>
  <c r="D14" i="8" l="1"/>
  <c r="J14" i="8" s="1"/>
  <c r="H15" i="8"/>
  <c r="J15" i="8" s="1"/>
  <c r="H14" i="8"/>
  <c r="K4" i="7"/>
  <c r="K5" i="7"/>
  <c r="K6" i="7"/>
  <c r="B7" i="7"/>
  <c r="K7" i="7" s="1"/>
  <c r="F7" i="7"/>
  <c r="G7" i="7"/>
  <c r="H7" i="7"/>
  <c r="I7" i="7"/>
  <c r="K9" i="7"/>
  <c r="B10" i="7"/>
  <c r="B14" i="7" s="1"/>
  <c r="C10" i="7"/>
  <c r="K10" i="7" s="1"/>
  <c r="D10" i="7"/>
  <c r="E10" i="7"/>
  <c r="F10" i="7"/>
  <c r="F14" i="7" s="1"/>
  <c r="G10" i="7"/>
  <c r="G14" i="7" s="1"/>
  <c r="H10" i="7"/>
  <c r="I10" i="7"/>
  <c r="B11" i="7"/>
  <c r="B15" i="7" s="1"/>
  <c r="C11" i="7"/>
  <c r="D11" i="7"/>
  <c r="E11" i="7"/>
  <c r="E15" i="7" s="1"/>
  <c r="F11" i="7"/>
  <c r="K11" i="7" s="1"/>
  <c r="G11" i="7"/>
  <c r="H11" i="7"/>
  <c r="I11" i="7"/>
  <c r="I15" i="7" s="1"/>
  <c r="B12" i="7"/>
  <c r="C12" i="7"/>
  <c r="D12" i="7"/>
  <c r="K12" i="7" s="1"/>
  <c r="E12" i="7"/>
  <c r="E14" i="7" s="1"/>
  <c r="F12" i="7"/>
  <c r="G12" i="7"/>
  <c r="H12" i="7"/>
  <c r="H15" i="7" s="1"/>
  <c r="I12" i="7"/>
  <c r="I14" i="7" s="1"/>
  <c r="D14" i="7"/>
  <c r="H14" i="7"/>
  <c r="C15" i="7"/>
  <c r="G15" i="7"/>
  <c r="K20" i="7"/>
  <c r="K21" i="7"/>
  <c r="K22" i="7"/>
  <c r="K14" i="7" l="1"/>
  <c r="F15" i="7"/>
  <c r="C14" i="7"/>
  <c r="D15" i="7"/>
  <c r="K15" i="7" s="1"/>
  <c r="K4" i="6"/>
  <c r="K5" i="6"/>
  <c r="K6" i="6"/>
  <c r="B7" i="6"/>
  <c r="K7" i="6" s="1"/>
  <c r="C7" i="6"/>
  <c r="D7" i="6"/>
  <c r="E7" i="6"/>
  <c r="F7" i="6"/>
  <c r="H7" i="6"/>
  <c r="I7" i="6"/>
  <c r="K9" i="6"/>
  <c r="B10" i="6"/>
  <c r="C10" i="6"/>
  <c r="D10" i="6"/>
  <c r="E10" i="6"/>
  <c r="F10" i="6"/>
  <c r="H10" i="6"/>
  <c r="I10" i="6"/>
  <c r="K10" i="6"/>
  <c r="B11" i="6"/>
  <c r="C11" i="6"/>
  <c r="D11" i="6"/>
  <c r="E11" i="6"/>
  <c r="F11" i="6"/>
  <c r="H11" i="6"/>
  <c r="I11" i="6"/>
  <c r="K11" i="6"/>
  <c r="B12" i="6"/>
  <c r="C12" i="6"/>
  <c r="D12" i="6"/>
  <c r="E12" i="6"/>
  <c r="F12" i="6"/>
  <c r="H12" i="6"/>
  <c r="I12" i="6"/>
  <c r="K12" i="6"/>
  <c r="B14" i="6"/>
  <c r="C14" i="6"/>
  <c r="D14" i="6"/>
  <c r="E14" i="6"/>
  <c r="F14" i="6"/>
  <c r="H14" i="6"/>
  <c r="I14" i="6"/>
  <c r="K14" i="6"/>
  <c r="B15" i="6"/>
  <c r="C15" i="6"/>
  <c r="D15" i="6"/>
  <c r="E15" i="6"/>
  <c r="F15" i="6"/>
  <c r="H15" i="6"/>
  <c r="I15" i="6"/>
  <c r="K15" i="6"/>
  <c r="K20" i="6"/>
  <c r="K21" i="6"/>
  <c r="K22" i="6"/>
  <c r="L4" i="5" l="1"/>
  <c r="L5" i="5"/>
  <c r="L6" i="5"/>
  <c r="B7" i="5"/>
  <c r="L7" i="5" s="1"/>
  <c r="C7" i="5"/>
  <c r="D7" i="5"/>
  <c r="E7" i="5"/>
  <c r="F7" i="5"/>
  <c r="G7" i="5"/>
  <c r="H7" i="5"/>
  <c r="I7" i="5"/>
  <c r="J7" i="5"/>
  <c r="L9" i="5"/>
  <c r="B10" i="5"/>
  <c r="C10" i="5"/>
  <c r="C14" i="5" s="1"/>
  <c r="D10" i="5"/>
  <c r="E10" i="5"/>
  <c r="F10" i="5"/>
  <c r="G10" i="5"/>
  <c r="G14" i="5" s="1"/>
  <c r="H10" i="5"/>
  <c r="I10" i="5"/>
  <c r="J10" i="5"/>
  <c r="L10" i="5"/>
  <c r="B11" i="5"/>
  <c r="C11" i="5"/>
  <c r="D11" i="5"/>
  <c r="E11" i="5"/>
  <c r="L11" i="5" s="1"/>
  <c r="F11" i="5"/>
  <c r="G11" i="5"/>
  <c r="H11" i="5"/>
  <c r="I11" i="5"/>
  <c r="I15" i="5" s="1"/>
  <c r="J11" i="5"/>
  <c r="B12" i="5"/>
  <c r="C12" i="5"/>
  <c r="D12" i="5"/>
  <c r="D14" i="5" s="1"/>
  <c r="E12" i="5"/>
  <c r="F12" i="5"/>
  <c r="G12" i="5"/>
  <c r="H12" i="5"/>
  <c r="H14" i="5" s="1"/>
  <c r="I12" i="5"/>
  <c r="J12" i="5"/>
  <c r="L12" i="5"/>
  <c r="B14" i="5"/>
  <c r="E14" i="5"/>
  <c r="F14" i="5"/>
  <c r="I14" i="5"/>
  <c r="J14" i="5"/>
  <c r="B15" i="5"/>
  <c r="C15" i="5"/>
  <c r="D15" i="5"/>
  <c r="F15" i="5"/>
  <c r="G15" i="5"/>
  <c r="H15" i="5"/>
  <c r="J15" i="5"/>
  <c r="L20" i="5"/>
  <c r="L21" i="5"/>
  <c r="L22" i="5"/>
  <c r="L14" i="5" l="1"/>
  <c r="E15" i="5"/>
  <c r="L15" i="5" s="1"/>
  <c r="J4" i="4"/>
  <c r="J5" i="4"/>
  <c r="J6" i="4"/>
  <c r="B7" i="4"/>
  <c r="J7" i="4" s="1"/>
  <c r="C7" i="4"/>
  <c r="D7" i="4"/>
  <c r="E7" i="4"/>
  <c r="F7" i="4"/>
  <c r="G7" i="4"/>
  <c r="H7" i="4"/>
  <c r="J9" i="4"/>
  <c r="B10" i="4"/>
  <c r="C10" i="4"/>
  <c r="D10" i="4"/>
  <c r="E10" i="4"/>
  <c r="F10" i="4"/>
  <c r="G10" i="4"/>
  <c r="H10" i="4"/>
  <c r="J10" i="4"/>
  <c r="B11" i="4"/>
  <c r="C11" i="4"/>
  <c r="D11" i="4"/>
  <c r="E11" i="4"/>
  <c r="F11" i="4"/>
  <c r="G11" i="4"/>
  <c r="H11" i="4"/>
  <c r="J11" i="4"/>
  <c r="B12" i="4"/>
  <c r="C12" i="4"/>
  <c r="D12" i="4"/>
  <c r="E12" i="4"/>
  <c r="J12" i="4" s="1"/>
  <c r="F12" i="4"/>
  <c r="G12" i="4"/>
  <c r="H12" i="4"/>
  <c r="B14" i="4"/>
  <c r="C14" i="4"/>
  <c r="D14" i="4"/>
  <c r="E14" i="4"/>
  <c r="F14" i="4"/>
  <c r="G14" i="4"/>
  <c r="H14" i="4"/>
  <c r="J14" i="4"/>
  <c r="B15" i="4"/>
  <c r="C15" i="4"/>
  <c r="D15" i="4"/>
  <c r="E15" i="4"/>
  <c r="F15" i="4"/>
  <c r="G15" i="4"/>
  <c r="H15" i="4"/>
  <c r="J15" i="4"/>
  <c r="J20" i="4"/>
  <c r="J21" i="4"/>
  <c r="J22" i="4"/>
  <c r="I4" i="3" l="1"/>
  <c r="I5" i="3"/>
  <c r="I6" i="3"/>
  <c r="B7" i="3"/>
  <c r="I7" i="3" s="1"/>
  <c r="C7" i="3"/>
  <c r="D7" i="3"/>
  <c r="E7" i="3"/>
  <c r="F7" i="3"/>
  <c r="G7" i="3"/>
  <c r="I9" i="3"/>
  <c r="B10" i="3"/>
  <c r="I10" i="3" s="1"/>
  <c r="C10" i="3"/>
  <c r="D10" i="3"/>
  <c r="D14" i="3" s="1"/>
  <c r="E10" i="3"/>
  <c r="F10" i="3"/>
  <c r="G10" i="3"/>
  <c r="B11" i="3"/>
  <c r="C11" i="3"/>
  <c r="I11" i="3" s="1"/>
  <c r="D11" i="3"/>
  <c r="E11" i="3"/>
  <c r="E15" i="3" s="1"/>
  <c r="F11" i="3"/>
  <c r="G11" i="3"/>
  <c r="B12" i="3"/>
  <c r="C12" i="3"/>
  <c r="D12" i="3"/>
  <c r="E12" i="3"/>
  <c r="F12" i="3"/>
  <c r="G12" i="3"/>
  <c r="I12" i="3"/>
  <c r="B14" i="3"/>
  <c r="I14" i="3" s="1"/>
  <c r="C14" i="3"/>
  <c r="E14" i="3"/>
  <c r="F14" i="3"/>
  <c r="G14" i="3"/>
  <c r="B15" i="3"/>
  <c r="C15" i="3"/>
  <c r="D15" i="3"/>
  <c r="F15" i="3"/>
  <c r="G15" i="3"/>
  <c r="I20" i="3"/>
  <c r="I21" i="3"/>
  <c r="I22" i="3"/>
  <c r="I15" i="3" l="1"/>
  <c r="I4" i="2"/>
  <c r="I5" i="2"/>
  <c r="I6" i="2"/>
  <c r="B7" i="2"/>
  <c r="C7" i="2"/>
  <c r="I7" i="2" s="1"/>
  <c r="D7" i="2"/>
  <c r="E7" i="2"/>
  <c r="F7" i="2"/>
  <c r="G7" i="2"/>
  <c r="I9" i="2"/>
  <c r="B10" i="2"/>
  <c r="C10" i="2"/>
  <c r="D10" i="2"/>
  <c r="D14" i="2" s="1"/>
  <c r="E10" i="2"/>
  <c r="F10" i="2"/>
  <c r="G10" i="2"/>
  <c r="I10" i="2"/>
  <c r="B11" i="2"/>
  <c r="C11" i="2"/>
  <c r="D11" i="2"/>
  <c r="E11" i="2"/>
  <c r="I11" i="2" s="1"/>
  <c r="F11" i="2"/>
  <c r="G11" i="2"/>
  <c r="B12" i="2"/>
  <c r="B14" i="2" s="1"/>
  <c r="C12" i="2"/>
  <c r="D12" i="2"/>
  <c r="E12" i="2"/>
  <c r="E14" i="2" s="1"/>
  <c r="F12" i="2"/>
  <c r="F14" i="2" s="1"/>
  <c r="G12" i="2"/>
  <c r="C14" i="2"/>
  <c r="G14" i="2"/>
  <c r="C15" i="2"/>
  <c r="D15" i="2"/>
  <c r="E15" i="2"/>
  <c r="G15" i="2"/>
  <c r="I20" i="2"/>
  <c r="I21" i="2"/>
  <c r="I22" i="2"/>
  <c r="I14" i="2" l="1"/>
  <c r="F15" i="2"/>
  <c r="B15" i="2"/>
  <c r="I15" i="2" s="1"/>
  <c r="I12" i="2"/>
  <c r="K9" i="1"/>
  <c r="K6" i="1"/>
  <c r="K5" i="1"/>
  <c r="K4" i="1"/>
  <c r="I12" i="1"/>
  <c r="I11" i="1"/>
  <c r="I10" i="1"/>
  <c r="I7" i="1"/>
  <c r="F12" i="1"/>
  <c r="F11" i="1"/>
  <c r="F10" i="1"/>
  <c r="F7" i="1"/>
  <c r="C12" i="1"/>
  <c r="B12" i="1"/>
  <c r="C11" i="1"/>
  <c r="B11" i="1"/>
  <c r="C10" i="1"/>
  <c r="B10" i="1"/>
  <c r="C7" i="1"/>
  <c r="B7" i="1"/>
  <c r="D12" i="1"/>
  <c r="D11" i="1"/>
  <c r="D10" i="1"/>
  <c r="D7" i="1"/>
  <c r="F15" i="1" l="1"/>
  <c r="D15" i="1"/>
  <c r="C14" i="1"/>
  <c r="B14" i="1"/>
  <c r="I14" i="1"/>
  <c r="I15" i="1"/>
  <c r="B15" i="1"/>
  <c r="D14" i="1"/>
  <c r="C15" i="1"/>
  <c r="F14" i="1"/>
  <c r="K22" i="1"/>
  <c r="K21" i="1"/>
  <c r="K20" i="1"/>
  <c r="G7" i="1" l="1"/>
  <c r="G10" i="1"/>
  <c r="G11" i="1"/>
  <c r="G12" i="1"/>
  <c r="G14" i="1" l="1"/>
  <c r="G15" i="1"/>
  <c r="H7" i="1"/>
  <c r="K7" i="1" s="1"/>
  <c r="H10" i="1"/>
  <c r="K10" i="1" s="1"/>
  <c r="H11" i="1"/>
  <c r="K11" i="1" s="1"/>
  <c r="H12" i="1"/>
  <c r="K12" i="1" s="1"/>
  <c r="H14" i="1" l="1"/>
  <c r="K14" i="1" s="1"/>
  <c r="H15" i="1"/>
  <c r="K15" i="1" s="1"/>
</calcChain>
</file>

<file path=xl/sharedStrings.xml><?xml version="1.0" encoding="utf-8"?>
<sst xmlns="http://schemas.openxmlformats.org/spreadsheetml/2006/main" count="823" uniqueCount="207">
  <si>
    <t>OCC</t>
  </si>
  <si>
    <t>George Remus VBC</t>
  </si>
  <si>
    <t>Pinhook VBC</t>
  </si>
  <si>
    <t>Dec Birthday</t>
  </si>
  <si>
    <t>Christmas Free Bottle</t>
  </si>
  <si>
    <t>S&amp;C Promo Sale</t>
  </si>
  <si>
    <t>NYE Free Bottle</t>
  </si>
  <si>
    <t>Free Delivery</t>
  </si>
  <si>
    <t>Totals</t>
  </si>
  <si>
    <t>Description</t>
  </si>
  <si>
    <t>$10 off George Remus Borubon 750mL
Pcodes: 468205</t>
  </si>
  <si>
    <t>$10 off Pinhook Bourbon 750mL
Pcodes: 745005</t>
  </si>
  <si>
    <t>$7 off $35+ wines or spirits 
750mL, 1L, 1.5L or 1.75L sizes</t>
  </si>
  <si>
    <t>Spend $50+, get a free wine (All ABC Access Members)
Pcodes: 691905, 954155, 477055 and 142355</t>
  </si>
  <si>
    <t>$10 off $75+ S&amp;C wines or spirits 
750mL, 1L, 1.5L or 1.75L sizes</t>
  </si>
  <si>
    <t>Spend $50+, get a free sparkling wine (Gold Key Access Members)
Pcodes: 400505, 414305, 292705, 229455 and 165755</t>
  </si>
  <si>
    <t>Free Delivery on orders $50+</t>
  </si>
  <si>
    <t>Dates Active</t>
  </si>
  <si>
    <t>11/27-1/1</t>
  </si>
  <si>
    <t>12/1-12/31</t>
  </si>
  <si>
    <t>12/14-12/16</t>
  </si>
  <si>
    <t>12/19 only</t>
  </si>
  <si>
    <t>12/28-12/30</t>
  </si>
  <si>
    <t>12/15-12/17</t>
  </si>
  <si>
    <t>Full Retail Value</t>
  </si>
  <si>
    <t>Markdown Discount (sale prices)</t>
  </si>
  <si>
    <t>Promotional Discount</t>
  </si>
  <si>
    <t>Gross Rev</t>
  </si>
  <si>
    <t># of orders</t>
  </si>
  <si>
    <t>Avg Full Retail Value</t>
  </si>
  <si>
    <t>Avg Retail Value w/ Sale Prices</t>
  </si>
  <si>
    <t>Av Retail Value w/ Sale Prices and Promotions</t>
  </si>
  <si>
    <t>Promotional Cost per Order
w/ Sale Prices and Promotions</t>
  </si>
  <si>
    <t>Promotional Cost per Order
w/ Promotions only</t>
  </si>
  <si>
    <t>INSTORE</t>
  </si>
  <si>
    <t>N Fl stores</t>
  </si>
  <si>
    <t>$10 off $50+ wines or spirits
750mL, 1L, 1.5L or 1.75L sizes</t>
  </si>
  <si>
    <t>12/7-12/18</t>
  </si>
  <si>
    <t>Promo Sales (Trans Total)</t>
  </si>
  <si>
    <t>Gross Profit Margin</t>
  </si>
  <si>
    <t>Transactions</t>
  </si>
  <si>
    <t>Nov Birthday</t>
  </si>
  <si>
    <t>Yellowstone VBC</t>
  </si>
  <si>
    <t>Clyde May VBC</t>
  </si>
  <si>
    <t>Thanksgiving Free Bottle</t>
  </si>
  <si>
    <t>Site Improvement Sale</t>
  </si>
  <si>
    <t>Site Improvement Sale 2</t>
  </si>
  <si>
    <t>$5 off Yellowstone Borubon 750mL
Pcodes: 993705</t>
  </si>
  <si>
    <t>$5 off Clyde May Whiskey 750mL
Pcodes: 428105, 429105, 432105, 433205, 433305, 435005</t>
  </si>
  <si>
    <t>Spend $50+, get a free wine (All ABC Access Members)
Pcodes: 399705, 843855, 600355 and 418055</t>
  </si>
  <si>
    <t>$5 off $75+ wines or spirits 
750mL, 1L, 1.5L or 1.75L sizes</t>
  </si>
  <si>
    <t>11/1-11/30</t>
  </si>
  <si>
    <t>11/1-11/26</t>
  </si>
  <si>
    <t>11/16-11/18</t>
  </si>
  <si>
    <t>11/15 only</t>
  </si>
  <si>
    <t>11/15-11/17</t>
  </si>
  <si>
    <t>Retail Value</t>
  </si>
  <si>
    <t>-</t>
  </si>
  <si>
    <t>Oct Birthday</t>
  </si>
  <si>
    <t>Ezra Brooks VBC</t>
  </si>
  <si>
    <t>Cazadores VBC</t>
  </si>
  <si>
    <t>Midnight Moon VBC</t>
  </si>
  <si>
    <t>Tallahassee Email</t>
  </si>
  <si>
    <t>Tallahassee Digital</t>
  </si>
  <si>
    <t>$10 off Ezra Brooks Borubon 1.75L
Pcodes: 311802</t>
  </si>
  <si>
    <t>$7 off Cazadores Tequila 750mL or alrger
Pcodes: 222602, 222605, 223105</t>
  </si>
  <si>
    <t>$5 off Midnight Moonshine 750mL
Pcodes: 489505, 489550, 489805, 489950</t>
  </si>
  <si>
    <t>$15 off $75+ wines or spirits 
750mL, 1L, 1.5L or 1.75L sizes</t>
  </si>
  <si>
    <t>10/1-10/31</t>
  </si>
  <si>
    <t>10/2-10/31</t>
  </si>
  <si>
    <t>10/19-10/31</t>
  </si>
  <si>
    <t>$10 off Ezra Brooks Borubon 1.75L
Pcodes:  311802</t>
  </si>
  <si>
    <t>Angel's Envy VBC</t>
  </si>
  <si>
    <t>Barr Hill VBC</t>
  </si>
  <si>
    <t>Somrus VBC</t>
  </si>
  <si>
    <t>Puncher's Chance VBC</t>
  </si>
  <si>
    <t>Sept Birthday</t>
  </si>
  <si>
    <t>v5 Vodka Feature</t>
  </si>
  <si>
    <t>Quarter Horse Feature</t>
  </si>
  <si>
    <t>$5 off Angel's Envy Bourbon 750mL
Pcodes: 100705, 103305</t>
  </si>
  <si>
    <t>$10 off Barr Hill Gin 750mL
Pcodes:  200005, 207605</t>
  </si>
  <si>
    <t>$5 off Somrus Liqueuer 750mL
Pcodes: 830805, 831105, 830850, 831150</t>
  </si>
  <si>
    <t>$10 off Puncher's Chance 750mL
Pcodes: 748005</t>
  </si>
  <si>
    <t>$3 off V5 Vodka 750mL or larger
Pcodes:  436205, 436305, 438005, 438002</t>
  </si>
  <si>
    <t>$5 off Quarter Horse Bourbon 750mL
Pcodes:  691805, 693405, 694605, 693705</t>
  </si>
  <si>
    <t>8/28-10/1</t>
  </si>
  <si>
    <t>9/1-9/30</t>
  </si>
  <si>
    <t>9/8-9/18</t>
  </si>
  <si>
    <t>9/22-10/1</t>
  </si>
  <si>
    <t>Store 60 Promo</t>
  </si>
  <si>
    <t>Rock N Roll VBC</t>
  </si>
  <si>
    <t>August Birthday</t>
  </si>
  <si>
    <t>Free Bottle Promo</t>
  </si>
  <si>
    <t>Mayorazgo VBC</t>
  </si>
  <si>
    <t>Jameson VBC</t>
  </si>
  <si>
    <t>ABC Re-Engage 1</t>
  </si>
  <si>
    <t>ABC Re-Engage 2</t>
  </si>
  <si>
    <t>$5 off $50+ wines or spirits 
750mL, 1L, 1.5L or 1.75L sizes</t>
  </si>
  <si>
    <t>$5 off Rock N Roll Tequila 750mL
Pcodes:  762405, 762505</t>
  </si>
  <si>
    <t>$7 off select Cazadores Tequila 750mL or larger
Pcodes: 223105, 222605, 222602</t>
  </si>
  <si>
    <t>Spend $50+, get a free wine
Pcodes: 400205, 419105, 657055 and 165755</t>
  </si>
  <si>
    <t>$3 off Mayorazgo Tequila 750mL
Pcodes: 440605, 440405</t>
  </si>
  <si>
    <t>$8 off Jameson Orange Whiskey 1.75L
Pcodes: 5122202</t>
  </si>
  <si>
    <t>$5 off $40+ wines or spirits 
750mL, 1L, 1.5L or 1.75L sizes</t>
  </si>
  <si>
    <t>7/25-8/7</t>
  </si>
  <si>
    <t>7/31-8/27</t>
  </si>
  <si>
    <t>8/1-8/31</t>
  </si>
  <si>
    <t>8/7-8/9</t>
  </si>
  <si>
    <t>8/9-8/14</t>
  </si>
  <si>
    <t>ACID Promo</t>
  </si>
  <si>
    <t>Buy 10+ ACID sticks, get $1 off each stick.</t>
  </si>
  <si>
    <t>7/5-8/14</t>
  </si>
  <si>
    <t>July Birthday</t>
  </si>
  <si>
    <t>Busker VBC</t>
  </si>
  <si>
    <t>Svekda VBC</t>
  </si>
  <si>
    <t>Ballotin VBC</t>
  </si>
  <si>
    <t>Chardonnay VBC</t>
  </si>
  <si>
    <t>$5 off select Busker Irish Whiskey 750mL or larger
Pcodes: 161802, 161805, 161905</t>
  </si>
  <si>
    <t>$5 off Svekda Gin 750mL
Pcodes:  157305, 159605</t>
  </si>
  <si>
    <t>$5 off select Ballotin Whiskey 750mL
Pcodes: 975905, 976005, 976905, 977005, 977205, 977305, 977605</t>
  </si>
  <si>
    <t>$3 off select Chardonnays 750mL
Pcodes: 210405, 646055, 858555</t>
  </si>
  <si>
    <t>7/1-7/31</t>
  </si>
  <si>
    <t>7/5-7/30</t>
  </si>
  <si>
    <t>Promo Sales</t>
  </si>
  <si>
    <t>High West VBC</t>
  </si>
  <si>
    <t>June Birthday</t>
  </si>
  <si>
    <t>Senor Pedro's Feature</t>
  </si>
  <si>
    <t>10% off S&amp;C</t>
  </si>
  <si>
    <t>$5 off select High West Whiskey 750mL
Pcodes: 594505, 594605</t>
  </si>
  <si>
    <t>Spend $50, get free wine/spirit
Gold Key Members only
Pcodes: 874705, 383805, 165755, 731555 and 789055</t>
  </si>
  <si>
    <t>15% off Senor Pedro’s RTD 1.75L
Pcodes: 800502, 800902, 800402, 801002, 800702, 801602</t>
  </si>
  <si>
    <t>10% Off S&amp;C Wine or Spirits 750mL, 1L, 1.5L or 1.75L sizes</t>
  </si>
  <si>
    <t>5/31-7/4</t>
  </si>
  <si>
    <t>6/1-6/30</t>
  </si>
  <si>
    <t>6/20-6/22</t>
  </si>
  <si>
    <t>6/22-6/26</t>
  </si>
  <si>
    <t>6/30 only</t>
  </si>
  <si>
    <t>Sandestin Wine Fest</t>
  </si>
  <si>
    <t>Los Rijos Feature</t>
  </si>
  <si>
    <t>May Birthday</t>
  </si>
  <si>
    <t>$10 off $100+ wines or spirits 
750mL, 1L, 1.5L or 1.75L sizes</t>
  </si>
  <si>
    <t>$5 off Los Rijos Tequila 750mL or larger 
Select Pcodes
Promo Code: LOSRIJOS</t>
  </si>
  <si>
    <t>4/22-5/8</t>
  </si>
  <si>
    <t>4/27-5/5</t>
  </si>
  <si>
    <t>5/1-5/31</t>
  </si>
  <si>
    <t>5/1-5/30</t>
  </si>
  <si>
    <t>Store 111 Bounce Back</t>
  </si>
  <si>
    <t>10% off S&amp;C wine and spirit purchases 
Initial</t>
  </si>
  <si>
    <t>10% off S&amp;C wine and spirit purchases 
Bounce Back</t>
  </si>
  <si>
    <t>4/27-5/13</t>
  </si>
  <si>
    <t>5/4-5/18</t>
  </si>
  <si>
    <t>Store 175 tasting</t>
  </si>
  <si>
    <t>Store 151 tasting</t>
  </si>
  <si>
    <t>April Birthday</t>
  </si>
  <si>
    <t>818 Tequila VBC</t>
  </si>
  <si>
    <t>Easter Free Bottle</t>
  </si>
  <si>
    <t>Tom Sims Feature</t>
  </si>
  <si>
    <t>Store 163 tasting</t>
  </si>
  <si>
    <t>10% off S&amp;C Wine / Spirits
750mL, 1L, 1.5L or 1.75L sizes</t>
  </si>
  <si>
    <t>$5 off 818 Tequila 750mL
Select Pcodes
Promo Code: 818SAVE</t>
  </si>
  <si>
    <t>Spend $50, get free wine/spirit
Promo Code: EASTER22</t>
  </si>
  <si>
    <t>15% off Tom Sims Bourbon 750mL 
Select Pcodes
Promo Code: TOMSIMS</t>
  </si>
  <si>
    <t>3/23-4/6</t>
  </si>
  <si>
    <t>3/30-4/13</t>
  </si>
  <si>
    <t>4/1-4/30</t>
  </si>
  <si>
    <t>4/3-4/30</t>
  </si>
  <si>
    <t>4/12-4/14</t>
  </si>
  <si>
    <t>4/20-4/25</t>
  </si>
  <si>
    <t>4/21-5/5</t>
  </si>
  <si>
    <t>3/23-3/23</t>
  </si>
  <si>
    <t>3/30-3/30</t>
  </si>
  <si>
    <t>4/21-4/21</t>
  </si>
  <si>
    <t>Michaels VBC</t>
  </si>
  <si>
    <t>Tanteo Tequila VBC</t>
  </si>
  <si>
    <t>March Birthday</t>
  </si>
  <si>
    <t>TPC 2022 Event</t>
  </si>
  <si>
    <t>$3 off Michaels Irish Cream 750mL or alrger
Select Pcodes
Promo Code: MICHAELS3</t>
  </si>
  <si>
    <t>$5 off Tanteo Tequila n 750mL
Pcodes: 655505
Promo Code:  1897SAVE</t>
  </si>
  <si>
    <t>2/21-3/6</t>
  </si>
  <si>
    <t>2/27-4/2</t>
  </si>
  <si>
    <t>3/1-3/31</t>
  </si>
  <si>
    <t>3/9-3/27</t>
  </si>
  <si>
    <t>Store 111 Event</t>
  </si>
  <si>
    <t>10% off  S&amp;C Wine / Spirits
750mL, 1L, 1.5L or 1.75L sizes
Store 111</t>
  </si>
  <si>
    <t>10% off Wine / Spirits
750mL, 1L, 1.5L or 1.75L sizes</t>
  </si>
  <si>
    <t>2/4-2/23</t>
  </si>
  <si>
    <t>Old Forester VBC</t>
  </si>
  <si>
    <t>February Birthday</t>
  </si>
  <si>
    <t>Delivery Market Coupon</t>
  </si>
  <si>
    <t xml:space="preserve">Vero Ad </t>
  </si>
  <si>
    <t>Bounce Back Coupon</t>
  </si>
  <si>
    <t>Vday Free Bottle</t>
  </si>
  <si>
    <t>$10 off Old Forester Bourbon 750mL
Pcodes: 655505
Promo Code:  1897SAVE</t>
  </si>
  <si>
    <t>$5 off $50+ S&amp;C wines or spirits 
750mL, 1L, 1.5L or 1.75L sizes</t>
  </si>
  <si>
    <t>$5 off $50+ wines or spirits 
750mL, 1L, 1.5L or 1.75L sizes
Store 86</t>
  </si>
  <si>
    <t>Spend $50, get free wine bottle
Promo code: VDAY22</t>
  </si>
  <si>
    <t>1/30-2/26</t>
  </si>
  <si>
    <t>2/1-2/28</t>
  </si>
  <si>
    <t>2/3-2/14</t>
  </si>
  <si>
    <t>2/4-3/20</t>
  </si>
  <si>
    <t>2/7-2/9</t>
  </si>
  <si>
    <t>Arbor Grande Event</t>
  </si>
  <si>
    <t>January Birthday</t>
  </si>
  <si>
    <t>10% off all S&amp;C Wine / Spirits
Promo Code: ARBORGRANDE</t>
  </si>
  <si>
    <t>1/1-1/15</t>
  </si>
  <si>
    <t>1/1-1/31</t>
  </si>
  <si>
    <t>1/3-1/29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</si>
</sst>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3EAE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8" tint="0.79998168889431442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1" fillId="2" borderId="3" xfId="0" applyFont="1" applyFill="1" applyBorder="1" applyAlignment="1">
      <alignment horizontal="center"/>
    </xf>
    <xf numFmtId="16" fontId="0" fillId="2" borderId="3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/>
    <xf numFmtId="8" fontId="0" fillId="2" borderId="5" xfId="0" applyNumberFormat="1" applyFill="1" applyBorder="1"/>
    <xf numFmtId="8" fontId="0" fillId="0" borderId="0" xfId="0" applyNumberFormat="1"/>
    <xf numFmtId="0" fontId="0" fillId="2" borderId="1" xfId="0" applyFill="1" applyBorder="1"/>
    <xf numFmtId="8" fontId="0" fillId="2" borderId="1" xfId="0" applyNumberFormat="1" applyFill="1" applyBorder="1"/>
    <xf numFmtId="0" fontId="0" fillId="3" borderId="1" xfId="0" applyFill="1" applyBorder="1"/>
    <xf numFmtId="0" fontId="0" fillId="3" borderId="0" xfId="0" applyFill="1"/>
    <xf numFmtId="0" fontId="0" fillId="2" borderId="1" xfId="0" applyFill="1" applyBorder="1" applyAlignment="1">
      <alignment wrapText="1"/>
    </xf>
    <xf numFmtId="164" fontId="0" fillId="0" borderId="0" xfId="0" applyNumberFormat="1" applyAlignment="1">
      <alignment horizontal="right"/>
    </xf>
    <xf numFmtId="0" fontId="0" fillId="2" borderId="2" xfId="0" applyFill="1" applyBorder="1" applyAlignment="1">
      <alignment horizontal="center" vertical="center" wrapText="1"/>
    </xf>
    <xf numFmtId="1" fontId="0" fillId="2" borderId="1" xfId="0" applyNumberFormat="1" applyFill="1" applyBorder="1"/>
    <xf numFmtId="10" fontId="0" fillId="0" borderId="0" xfId="1" applyNumberFormat="1" applyFont="1"/>
    <xf numFmtId="0" fontId="1" fillId="0" borderId="0" xfId="0" applyFont="1"/>
    <xf numFmtId="1" fontId="0" fillId="0" borderId="0" xfId="0" applyNumberFormat="1"/>
    <xf numFmtId="1" fontId="0" fillId="2" borderId="1" xfId="0" applyNumberFormat="1" applyFill="1" applyBorder="1" applyAlignment="1">
      <alignment horizontal="right"/>
    </xf>
    <xf numFmtId="165" fontId="0" fillId="0" borderId="0" xfId="2" applyNumberFormat="1" applyFont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/>
    </xf>
    <xf numFmtId="16" fontId="0" fillId="4" borderId="3" xfId="0" applyNumberFormat="1" applyFill="1" applyBorder="1" applyAlignment="1">
      <alignment horizontal="center"/>
    </xf>
    <xf numFmtId="164" fontId="0" fillId="4" borderId="5" xfId="0" applyNumberFormat="1" applyFill="1" applyBorder="1" applyAlignment="1">
      <alignment horizontal="left"/>
    </xf>
    <xf numFmtId="164" fontId="0" fillId="4" borderId="1" xfId="0" applyNumberFormat="1" applyFill="1" applyBorder="1" applyAlignment="1">
      <alignment horizontal="right"/>
    </xf>
    <xf numFmtId="10" fontId="0" fillId="4" borderId="5" xfId="1" applyNumberFormat="1" applyFont="1" applyFill="1" applyBorder="1"/>
    <xf numFmtId="10" fontId="0" fillId="4" borderId="1" xfId="1" applyNumberFormat="1" applyFont="1" applyFill="1" applyBorder="1" applyAlignment="1">
      <alignment horizontal="right"/>
    </xf>
    <xf numFmtId="0" fontId="0" fillId="4" borderId="5" xfId="0" applyFill="1" applyBorder="1"/>
    <xf numFmtId="0" fontId="0" fillId="4" borderId="1" xfId="0" applyFill="1" applyBorder="1" applyAlignment="1">
      <alignment horizontal="right"/>
    </xf>
    <xf numFmtId="165" fontId="0" fillId="4" borderId="1" xfId="2" applyNumberFormat="1" applyFont="1" applyFill="1" applyBorder="1" applyAlignment="1">
      <alignment horizontal="right"/>
    </xf>
    <xf numFmtId="0" fontId="5" fillId="5" borderId="9" xfId="0" applyFont="1" applyFill="1" applyBorder="1"/>
    <xf numFmtId="0" fontId="5" fillId="0" borderId="0" xfId="0" applyFont="1"/>
    <xf numFmtId="0" fontId="4" fillId="6" borderId="6" xfId="0" applyFont="1" applyFill="1" applyBorder="1" applyAlignment="1">
      <alignment horizont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/>
    </xf>
    <xf numFmtId="8" fontId="5" fillId="6" borderId="6" xfId="0" applyNumberFormat="1" applyFont="1" applyFill="1" applyBorder="1"/>
    <xf numFmtId="10" fontId="5" fillId="6" borderId="9" xfId="0" applyNumberFormat="1" applyFont="1" applyFill="1" applyBorder="1"/>
    <xf numFmtId="0" fontId="5" fillId="6" borderId="9" xfId="0" applyFont="1" applyFill="1" applyBorder="1"/>
    <xf numFmtId="0" fontId="4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8" fontId="5" fillId="0" borderId="9" xfId="0" applyNumberFormat="1" applyFont="1" applyBorder="1"/>
    <xf numFmtId="0" fontId="5" fillId="0" borderId="9" xfId="0" applyFont="1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0" fontId="0" fillId="0" borderId="1" xfId="1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8" fontId="0" fillId="0" borderId="1" xfId="0" applyNumberFormat="1" applyBorder="1"/>
    <xf numFmtId="1" fontId="0" fillId="0" borderId="1" xfId="0" applyNumberFormat="1" applyBorder="1"/>
    <xf numFmtId="8" fontId="0" fillId="0" borderId="5" xfId="0" applyNumberFormat="1" applyBorder="1"/>
    <xf numFmtId="8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164" fontId="0" fillId="4" borderId="5" xfId="0" applyNumberFormat="1" applyFill="1" applyBorder="1" applyAlignment="1">
      <alignment horizontal="right"/>
    </xf>
    <xf numFmtId="10" fontId="0" fillId="4" borderId="5" xfId="1" applyNumberFormat="1" applyFont="1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8" fontId="0" fillId="0" borderId="1" xfId="0" applyNumberForma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DC10-D1C4-4F44-834F-0876398EAD3D}">
  <dimension ref="A1:AG22"/>
  <sheetViews>
    <sheetView topLeftCell="B1" zoomScale="75" zoomScaleNormal="75" workbookViewId="0">
      <selection activeCell="F10" sqref="F10"/>
    </sheetView>
  </sheetViews>
  <sheetFormatPr defaultRowHeight="14.45"/>
  <cols>
    <col min="1" max="1" width="30.7109375" customWidth="1"/>
    <col min="2" max="5" width="20.7109375" customWidth="1"/>
    <col min="6" max="6" width="25.7109375" customWidth="1"/>
    <col min="7" max="7" width="23.42578125" customWidth="1"/>
    <col min="8" max="8" width="25.85546875" customWidth="1"/>
    <col min="9" max="9" width="22" customWidth="1"/>
    <col min="10" max="10" width="21.28515625" customWidth="1"/>
    <col min="11" max="11" width="15.85546875" customWidth="1"/>
  </cols>
  <sheetData>
    <row r="1" spans="1:33" s="2" customFormat="1">
      <c r="A1" s="1" t="s">
        <v>0</v>
      </c>
      <c r="B1" s="1" t="s">
        <v>1</v>
      </c>
      <c r="C1" s="1" t="s">
        <v>2</v>
      </c>
      <c r="D1" s="1" t="s">
        <v>3</v>
      </c>
      <c r="E1" s="45"/>
      <c r="F1" s="1" t="s">
        <v>4</v>
      </c>
      <c r="G1" s="1" t="s">
        <v>5</v>
      </c>
      <c r="H1" s="1" t="s">
        <v>6</v>
      </c>
      <c r="I1" s="1" t="s">
        <v>7</v>
      </c>
      <c r="K1" s="2" t="s">
        <v>8</v>
      </c>
    </row>
    <row r="2" spans="1:33" s="5" customFormat="1" ht="85.5" customHeight="1">
      <c r="A2" s="3" t="s">
        <v>9</v>
      </c>
      <c r="B2" s="18" t="s">
        <v>10</v>
      </c>
      <c r="C2" s="18" t="s">
        <v>11</v>
      </c>
      <c r="D2" s="18" t="s">
        <v>12</v>
      </c>
      <c r="E2" s="46"/>
      <c r="F2" s="18" t="s">
        <v>13</v>
      </c>
      <c r="G2" s="18" t="s">
        <v>14</v>
      </c>
      <c r="H2" s="18" t="s">
        <v>15</v>
      </c>
      <c r="I2" s="18" t="s">
        <v>16</v>
      </c>
      <c r="J2" s="4"/>
    </row>
    <row r="3" spans="1:33" s="4" customFormat="1" ht="15" thickBot="1">
      <c r="A3" s="6" t="s">
        <v>17</v>
      </c>
      <c r="B3" s="7" t="s">
        <v>18</v>
      </c>
      <c r="C3" s="7" t="s">
        <v>18</v>
      </c>
      <c r="D3" s="7" t="s">
        <v>19</v>
      </c>
      <c r="E3" s="47"/>
      <c r="F3" s="7" t="s">
        <v>20</v>
      </c>
      <c r="G3" s="7" t="s">
        <v>21</v>
      </c>
      <c r="H3" s="7" t="s">
        <v>22</v>
      </c>
      <c r="I3" s="7" t="s">
        <v>23</v>
      </c>
      <c r="K3" s="8"/>
    </row>
    <row r="4" spans="1:33">
      <c r="A4" s="9" t="s">
        <v>24</v>
      </c>
      <c r="B4" s="10">
        <v>3897.93</v>
      </c>
      <c r="C4" s="10">
        <v>2954.09</v>
      </c>
      <c r="D4" s="10">
        <v>16352.43</v>
      </c>
      <c r="E4" s="48"/>
      <c r="F4" s="10">
        <v>35897.800000000003</v>
      </c>
      <c r="G4" s="10">
        <v>8784.11</v>
      </c>
      <c r="H4" s="10">
        <v>27516.94</v>
      </c>
      <c r="I4" s="10">
        <v>47347.07</v>
      </c>
      <c r="J4" s="11"/>
      <c r="K4" s="11">
        <f>SUM(B4:I4)</f>
        <v>142750.37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2" t="s">
        <v>25</v>
      </c>
      <c r="B5" s="13">
        <v>232</v>
      </c>
      <c r="C5" s="13">
        <v>261</v>
      </c>
      <c r="D5" s="13">
        <v>847.3</v>
      </c>
      <c r="E5" s="48"/>
      <c r="F5" s="13">
        <v>2459.29</v>
      </c>
      <c r="G5" s="13">
        <v>740.5</v>
      </c>
      <c r="H5" s="13">
        <v>1679.1</v>
      </c>
      <c r="I5" s="13">
        <v>2479.3000000000002</v>
      </c>
      <c r="J5" s="11"/>
      <c r="K5" s="11">
        <f>SUM(B5:I5)</f>
        <v>8698.4900000000016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spans="1:33">
      <c r="A6" s="12" t="s">
        <v>26</v>
      </c>
      <c r="B6" s="13">
        <v>895.96</v>
      </c>
      <c r="C6" s="13">
        <v>658.08</v>
      </c>
      <c r="D6" s="13">
        <v>2709.37</v>
      </c>
      <c r="E6" s="48"/>
      <c r="F6" s="13">
        <v>5837.51</v>
      </c>
      <c r="G6" s="13">
        <v>1282.46</v>
      </c>
      <c r="H6" s="13">
        <v>4630.38</v>
      </c>
      <c r="I6" s="13">
        <v>5379.59</v>
      </c>
      <c r="J6" s="11"/>
      <c r="K6" s="11">
        <f>SUM(B6:I6)</f>
        <v>21393.350000000002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pans="1:33">
      <c r="A7" s="12" t="s">
        <v>27</v>
      </c>
      <c r="B7" s="13">
        <f>B4-B5-B6</f>
        <v>2769.97</v>
      </c>
      <c r="C7" s="13">
        <f t="shared" ref="C7" si="0">C4-C5-C6</f>
        <v>2035.0100000000002</v>
      </c>
      <c r="D7" s="13">
        <f>D4-D5-D6</f>
        <v>12795.760000000002</v>
      </c>
      <c r="E7" s="48"/>
      <c r="F7" s="13">
        <f>F4-F5-F6</f>
        <v>27601</v>
      </c>
      <c r="G7" s="13">
        <f t="shared" ref="G7" si="1">G4-G5-G6</f>
        <v>6761.1500000000005</v>
      </c>
      <c r="H7" s="13">
        <f>H4-H5-H6</f>
        <v>21207.46</v>
      </c>
      <c r="I7" s="13">
        <f>I4-I5-I6</f>
        <v>39488.179999999993</v>
      </c>
      <c r="J7" s="11"/>
      <c r="K7" s="11">
        <f>SUM(B7:I7)</f>
        <v>112658.53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1:33" s="15" customFormat="1" ht="5.45" customHeight="1">
      <c r="A8" s="14"/>
      <c r="B8" s="14"/>
      <c r="C8" s="14"/>
      <c r="D8" s="14"/>
      <c r="E8" s="37"/>
      <c r="F8" s="14"/>
      <c r="G8" s="14"/>
      <c r="H8" s="14"/>
      <c r="I8" s="14"/>
    </row>
    <row r="9" spans="1:33">
      <c r="A9" s="12" t="s">
        <v>28</v>
      </c>
      <c r="B9" s="23">
        <v>50</v>
      </c>
      <c r="C9" s="23">
        <v>39</v>
      </c>
      <c r="D9" s="23">
        <v>170</v>
      </c>
      <c r="E9" s="49"/>
      <c r="F9" s="19">
        <v>320</v>
      </c>
      <c r="G9" s="23">
        <v>62</v>
      </c>
      <c r="H9" s="19">
        <v>219</v>
      </c>
      <c r="I9" s="19">
        <v>385</v>
      </c>
      <c r="K9" s="22">
        <f>SUM(B9:I9)</f>
        <v>1245</v>
      </c>
    </row>
    <row r="10" spans="1:33">
      <c r="A10" s="12" t="s">
        <v>29</v>
      </c>
      <c r="B10" s="13">
        <f>B4/B9</f>
        <v>77.95859999999999</v>
      </c>
      <c r="C10" s="13">
        <f t="shared" ref="C10" si="2">C4/C9</f>
        <v>75.745897435897433</v>
      </c>
      <c r="D10" s="13">
        <f>D4/D9</f>
        <v>96.190764705882358</v>
      </c>
      <c r="E10" s="48"/>
      <c r="F10" s="13">
        <f t="shared" ref="F10:H10" si="3">F4/F9</f>
        <v>112.18062500000001</v>
      </c>
      <c r="G10" s="13">
        <f t="shared" ref="G10" si="4">G4/G9</f>
        <v>141.6791935483871</v>
      </c>
      <c r="H10" s="13">
        <f t="shared" si="3"/>
        <v>125.64812785388128</v>
      </c>
      <c r="I10" s="13">
        <f t="shared" ref="I10" si="5">I4/I9</f>
        <v>122.9794025974026</v>
      </c>
      <c r="J10" s="11"/>
      <c r="K10" s="11">
        <f>AVERAGE(B10:I10)</f>
        <v>107.48323016306439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spans="1:33">
      <c r="A11" s="12" t="s">
        <v>30</v>
      </c>
      <c r="B11" s="13">
        <f>(B4-B5)/B9</f>
        <v>73.318600000000004</v>
      </c>
      <c r="C11" s="13">
        <f t="shared" ref="C11" si="6">(C4-C5)/C9</f>
        <v>69.053589743589754</v>
      </c>
      <c r="D11" s="13">
        <f>(D4-D5)/D9</f>
        <v>91.206647058823535</v>
      </c>
      <c r="E11" s="48"/>
      <c r="F11" s="13">
        <f t="shared" ref="F11" si="7">(F4-F5)/F9</f>
        <v>104.49534375</v>
      </c>
      <c r="G11" s="13">
        <f t="shared" ref="G11" si="8">(G4-G5)/G9</f>
        <v>129.73564516129034</v>
      </c>
      <c r="H11" s="13">
        <f t="shared" ref="H11:I11" si="9">(H4-H5)/H9</f>
        <v>117.98100456621005</v>
      </c>
      <c r="I11" s="13">
        <f t="shared" si="9"/>
        <v>116.53966233766234</v>
      </c>
      <c r="J11" s="11"/>
      <c r="K11" s="11">
        <f>AVERAGE(B11:I11)</f>
        <v>100.33292751679656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1:33" ht="28.9">
      <c r="A12" s="16" t="s">
        <v>31</v>
      </c>
      <c r="B12" s="13">
        <f>(B4-B5-B6)/B9</f>
        <v>55.399399999999993</v>
      </c>
      <c r="C12" s="13">
        <f t="shared" ref="C12" si="10">(C4-C5-C6)/C9</f>
        <v>52.179743589743595</v>
      </c>
      <c r="D12" s="13">
        <f>(D4-D5-D6)/D9</f>
        <v>75.269176470588249</v>
      </c>
      <c r="E12" s="48"/>
      <c r="F12" s="13">
        <f t="shared" ref="F12" si="11">(F4-F5-F6)/F9</f>
        <v>86.253124999999997</v>
      </c>
      <c r="G12" s="13">
        <f t="shared" ref="G12" si="12">(G4-G5-G6)/G9</f>
        <v>109.05080645161291</v>
      </c>
      <c r="H12" s="13">
        <f t="shared" ref="H12:I12" si="13">(H4-H5-H6)/H9</f>
        <v>96.837716894977163</v>
      </c>
      <c r="I12" s="13">
        <f t="shared" si="13"/>
        <v>102.56670129870128</v>
      </c>
      <c r="J12" s="11"/>
      <c r="K12" s="11">
        <f>AVERAGE(B12:I12)</f>
        <v>82.508095672231889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1:33" s="15" customFormat="1" ht="5.45" customHeight="1">
      <c r="A13" s="14"/>
      <c r="B13" s="14"/>
      <c r="C13" s="14"/>
      <c r="D13" s="14"/>
      <c r="E13" s="37"/>
      <c r="F13" s="14"/>
      <c r="G13" s="14"/>
      <c r="H13" s="14"/>
      <c r="I13" s="14"/>
    </row>
    <row r="14" spans="1:33" ht="28.9">
      <c r="A14" s="16" t="s">
        <v>32</v>
      </c>
      <c r="B14" s="13">
        <f>B10-B12</f>
        <v>22.559199999999997</v>
      </c>
      <c r="C14" s="13">
        <f t="shared" ref="C14" si="14">C10-C12</f>
        <v>23.566153846153838</v>
      </c>
      <c r="D14" s="13">
        <f>D10-D12</f>
        <v>20.921588235294109</v>
      </c>
      <c r="E14" s="48"/>
      <c r="F14" s="13">
        <f t="shared" ref="F14" si="15">F10-F12</f>
        <v>25.927500000000009</v>
      </c>
      <c r="G14" s="13">
        <f t="shared" ref="G14" si="16">G10-G12</f>
        <v>32.62838709677419</v>
      </c>
      <c r="H14" s="13">
        <f t="shared" ref="H14:I14" si="17">H10-H12</f>
        <v>28.810410958904114</v>
      </c>
      <c r="I14" s="13">
        <f t="shared" si="17"/>
        <v>20.412701298701322</v>
      </c>
      <c r="J14" s="11"/>
      <c r="K14" s="11">
        <f>SUM(B14:I14)</f>
        <v>174.82594143582759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spans="1:33" ht="28.9">
      <c r="A15" s="16" t="s">
        <v>33</v>
      </c>
      <c r="B15" s="13">
        <f>B11-B12</f>
        <v>17.919200000000011</v>
      </c>
      <c r="C15" s="13">
        <f t="shared" ref="C15" si="18">C11-C12</f>
        <v>16.873846153846159</v>
      </c>
      <c r="D15" s="13">
        <f>D11-D12</f>
        <v>15.937470588235286</v>
      </c>
      <c r="E15" s="48"/>
      <c r="F15" s="13">
        <f t="shared" ref="F15" si="19">F11-F12</f>
        <v>18.242218750000006</v>
      </c>
      <c r="G15" s="13">
        <f t="shared" ref="G15" si="20">G11-G12</f>
        <v>20.684838709677422</v>
      </c>
      <c r="H15" s="13">
        <f t="shared" ref="H15:I15" si="21">H11-H12</f>
        <v>21.143287671232883</v>
      </c>
      <c r="I15" s="13">
        <f t="shared" si="21"/>
        <v>13.97296103896106</v>
      </c>
      <c r="J15" s="11"/>
      <c r="K15" s="11">
        <f>SUM(B15:I15)</f>
        <v>124.77382291195282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spans="1:33">
      <c r="E16" s="38"/>
    </row>
    <row r="17" spans="1:19">
      <c r="A17" s="25" t="s">
        <v>34</v>
      </c>
      <c r="B17" s="25" t="s">
        <v>1</v>
      </c>
      <c r="C17" s="25" t="s">
        <v>2</v>
      </c>
      <c r="D17" s="25" t="s">
        <v>3</v>
      </c>
      <c r="E17" s="39" t="s">
        <v>35</v>
      </c>
      <c r="F17" s="25" t="s">
        <v>4</v>
      </c>
      <c r="G17" s="25" t="s">
        <v>5</v>
      </c>
      <c r="H17" s="25" t="s">
        <v>6</v>
      </c>
      <c r="K17" s="2"/>
    </row>
    <row r="18" spans="1:19" ht="88.5" customHeight="1">
      <c r="A18" s="26" t="s">
        <v>9</v>
      </c>
      <c r="B18" s="27" t="s">
        <v>10</v>
      </c>
      <c r="C18" s="27" t="s">
        <v>11</v>
      </c>
      <c r="D18" s="27" t="s">
        <v>12</v>
      </c>
      <c r="E18" s="40" t="s">
        <v>36</v>
      </c>
      <c r="F18" s="27" t="s">
        <v>13</v>
      </c>
      <c r="G18" s="27" t="s">
        <v>14</v>
      </c>
      <c r="H18" s="27" t="s">
        <v>15</v>
      </c>
      <c r="K18" s="5"/>
      <c r="S18" s="21"/>
    </row>
    <row r="19" spans="1:19" ht="15" thickBot="1">
      <c r="A19" s="28" t="s">
        <v>17</v>
      </c>
      <c r="B19" s="29" t="s">
        <v>18</v>
      </c>
      <c r="C19" s="29" t="s">
        <v>18</v>
      </c>
      <c r="D19" s="29" t="s">
        <v>19</v>
      </c>
      <c r="E19" s="41" t="s">
        <v>37</v>
      </c>
      <c r="F19" s="29" t="s">
        <v>20</v>
      </c>
      <c r="G19" s="29" t="s">
        <v>21</v>
      </c>
      <c r="H19" s="29" t="s">
        <v>22</v>
      </c>
      <c r="K19" s="8"/>
    </row>
    <row r="20" spans="1:19" s="17" customFormat="1">
      <c r="A20" s="30" t="s">
        <v>38</v>
      </c>
      <c r="B20" s="31">
        <v>5111.03</v>
      </c>
      <c r="C20" s="31">
        <v>3963.58</v>
      </c>
      <c r="D20" s="31">
        <v>180524.43</v>
      </c>
      <c r="E20" s="42">
        <v>35958.629999999997</v>
      </c>
      <c r="F20" s="31">
        <v>228089.66</v>
      </c>
      <c r="G20" s="31">
        <v>31340.91</v>
      </c>
      <c r="H20" s="31">
        <v>194229.83</v>
      </c>
      <c r="K20" s="17">
        <f>SUM(B20:H20)</f>
        <v>679218.07</v>
      </c>
    </row>
    <row r="21" spans="1:19" s="20" customFormat="1">
      <c r="A21" s="32" t="s">
        <v>39</v>
      </c>
      <c r="B21" s="33">
        <v>0.19470000000000001</v>
      </c>
      <c r="C21" s="33">
        <v>0.1183</v>
      </c>
      <c r="D21" s="33">
        <v>0.14910000000000001</v>
      </c>
      <c r="E21" s="43">
        <v>0.125</v>
      </c>
      <c r="F21" s="33">
        <v>0.15210000000000001</v>
      </c>
      <c r="G21" s="33">
        <v>0.29930000000000001</v>
      </c>
      <c r="H21" s="33">
        <v>0.14230000000000001</v>
      </c>
      <c r="K21" s="20">
        <f>AVERAGE(B21:H21)</f>
        <v>0.1686857142857143</v>
      </c>
    </row>
    <row r="22" spans="1:19">
      <c r="A22" s="34" t="s">
        <v>40</v>
      </c>
      <c r="B22" s="35">
        <v>58</v>
      </c>
      <c r="C22" s="35">
        <v>61</v>
      </c>
      <c r="D22" s="36">
        <v>2331</v>
      </c>
      <c r="E22" s="44">
        <v>380</v>
      </c>
      <c r="F22" s="36">
        <v>2271</v>
      </c>
      <c r="G22" s="35">
        <v>216</v>
      </c>
      <c r="H22" s="36">
        <v>1857</v>
      </c>
      <c r="K22" s="24">
        <f>SUM(B22:H22)</f>
        <v>7174</v>
      </c>
    </row>
  </sheetData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0E1E-49D6-4330-A474-4D1E9070C55C}">
  <dimension ref="A1:AE22"/>
  <sheetViews>
    <sheetView zoomScale="75" zoomScaleNormal="75" workbookViewId="0">
      <selection activeCell="A17" sqref="A17:E22"/>
    </sheetView>
  </sheetViews>
  <sheetFormatPr defaultRowHeight="14.45"/>
  <cols>
    <col min="1" max="1" width="30.7109375" customWidth="1"/>
    <col min="2" max="2" width="20.7109375" customWidth="1"/>
    <col min="3" max="3" width="25.7109375" customWidth="1"/>
    <col min="4" max="4" width="23.42578125" customWidth="1"/>
    <col min="5" max="6" width="23.7109375" customWidth="1"/>
    <col min="7" max="7" width="25.140625" customWidth="1"/>
    <col min="8" max="8" width="21.28515625" customWidth="1"/>
    <col min="9" max="9" width="15.85546875" customWidth="1"/>
  </cols>
  <sheetData>
    <row r="1" spans="1:31" s="2" customFormat="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I1" s="2" t="s">
        <v>8</v>
      </c>
    </row>
    <row r="2" spans="1:31" s="5" customFormat="1" ht="100.9" customHeight="1">
      <c r="A2" s="3" t="s">
        <v>9</v>
      </c>
      <c r="B2" s="18" t="s">
        <v>12</v>
      </c>
      <c r="C2" s="18" t="s">
        <v>47</v>
      </c>
      <c r="D2" s="18" t="s">
        <v>48</v>
      </c>
      <c r="E2" s="18" t="s">
        <v>49</v>
      </c>
      <c r="F2" s="18" t="s">
        <v>50</v>
      </c>
      <c r="G2" s="18" t="s">
        <v>16</v>
      </c>
      <c r="H2" s="4"/>
    </row>
    <row r="3" spans="1:31" s="4" customFormat="1" ht="15" thickBot="1">
      <c r="A3" s="6" t="s">
        <v>17</v>
      </c>
      <c r="B3" s="7" t="s">
        <v>51</v>
      </c>
      <c r="C3" s="7" t="s">
        <v>52</v>
      </c>
      <c r="D3" s="7" t="s">
        <v>52</v>
      </c>
      <c r="E3" s="7" t="s">
        <v>53</v>
      </c>
      <c r="F3" s="7" t="s">
        <v>54</v>
      </c>
      <c r="G3" s="7" t="s">
        <v>55</v>
      </c>
      <c r="I3" s="8"/>
    </row>
    <row r="4" spans="1:31">
      <c r="A4" s="9" t="s">
        <v>24</v>
      </c>
      <c r="B4" s="10">
        <v>10231.94</v>
      </c>
      <c r="C4" s="10">
        <v>301.93</v>
      </c>
      <c r="D4" s="10">
        <v>161.93</v>
      </c>
      <c r="E4" s="10">
        <v>27515.16</v>
      </c>
      <c r="F4" s="10">
        <v>4619.7</v>
      </c>
      <c r="G4" s="10">
        <v>8051.35</v>
      </c>
      <c r="H4" s="11"/>
      <c r="I4" s="11">
        <f>SUM(B4:G4)</f>
        <v>50882.009999999995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>
      <c r="A5" s="12" t="s">
        <v>25</v>
      </c>
      <c r="B5" s="13">
        <v>545</v>
      </c>
      <c r="C5" s="13">
        <v>16</v>
      </c>
      <c r="D5" s="13">
        <v>12</v>
      </c>
      <c r="E5" s="13">
        <v>1364.5</v>
      </c>
      <c r="F5" s="13">
        <v>381.42</v>
      </c>
      <c r="G5" s="13">
        <v>372</v>
      </c>
      <c r="H5" s="11"/>
      <c r="I5" s="11">
        <f>SUM(B5:G5)</f>
        <v>2690.92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>
      <c r="A6" s="12" t="s">
        <v>26</v>
      </c>
      <c r="B6" s="13">
        <v>1531.91</v>
      </c>
      <c r="C6" s="13">
        <v>31</v>
      </c>
      <c r="D6" s="13">
        <v>22.97</v>
      </c>
      <c r="E6" s="13">
        <v>3785.52</v>
      </c>
      <c r="F6" s="13">
        <v>723.36</v>
      </c>
      <c r="G6" s="13">
        <v>818.79</v>
      </c>
      <c r="H6" s="11"/>
      <c r="I6" s="11">
        <f>SUM(B6:G6)</f>
        <v>6913.5499999999993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>
      <c r="A7" s="12" t="s">
        <v>56</v>
      </c>
      <c r="B7" s="13">
        <f>B4-B5-B6</f>
        <v>8155.0300000000007</v>
      </c>
      <c r="C7" s="13">
        <f>C4-C5-C6</f>
        <v>254.93</v>
      </c>
      <c r="D7" s="13">
        <f>D4-D5-D6</f>
        <v>126.96000000000001</v>
      </c>
      <c r="E7" s="13">
        <f>E4-E5-E6</f>
        <v>22365.14</v>
      </c>
      <c r="F7" s="13">
        <f>F4-F5-F6</f>
        <v>3514.9199999999996</v>
      </c>
      <c r="G7" s="13">
        <f>G4-G5-G6</f>
        <v>6860.56</v>
      </c>
      <c r="H7" s="11"/>
      <c r="I7" s="11">
        <f>SUM(B7:G7)</f>
        <v>41277.539999999994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s="15" customFormat="1" ht="5.45" customHeight="1">
      <c r="A8" s="14"/>
      <c r="B8" s="14"/>
      <c r="C8" s="14"/>
      <c r="D8" s="14"/>
      <c r="E8" s="14"/>
      <c r="F8" s="14"/>
      <c r="G8" s="14"/>
    </row>
    <row r="9" spans="1:31">
      <c r="A9" s="12" t="s">
        <v>28</v>
      </c>
      <c r="B9" s="23">
        <v>108</v>
      </c>
      <c r="C9" s="23">
        <v>3</v>
      </c>
      <c r="D9" s="23">
        <v>2</v>
      </c>
      <c r="E9" s="19">
        <v>256</v>
      </c>
      <c r="F9" s="19">
        <v>32</v>
      </c>
      <c r="G9" s="19">
        <v>61</v>
      </c>
      <c r="I9" s="22">
        <f>SUM(B9:G9)</f>
        <v>462</v>
      </c>
    </row>
    <row r="10" spans="1:31">
      <c r="A10" s="12" t="s">
        <v>29</v>
      </c>
      <c r="B10" s="13">
        <f>B4/B9</f>
        <v>94.740185185185183</v>
      </c>
      <c r="C10" s="13">
        <f>C4/C9</f>
        <v>100.64333333333333</v>
      </c>
      <c r="D10" s="13">
        <f>D4/D9</f>
        <v>80.965000000000003</v>
      </c>
      <c r="E10" s="13">
        <f>E4/E9</f>
        <v>107.48109375</v>
      </c>
      <c r="F10" s="13">
        <f>F4/F9</f>
        <v>144.36562499999999</v>
      </c>
      <c r="G10" s="13">
        <f>G4/G9</f>
        <v>131.98934426229508</v>
      </c>
      <c r="H10" s="11"/>
      <c r="I10" s="11">
        <f>AVERAGE(B10:G10)</f>
        <v>110.03076358846893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>
      <c r="A11" s="12" t="s">
        <v>30</v>
      </c>
      <c r="B11" s="13">
        <f>(B4-B5)/B9</f>
        <v>89.693888888888893</v>
      </c>
      <c r="C11" s="13">
        <f>(C4-C5)/C9</f>
        <v>95.31</v>
      </c>
      <c r="D11" s="13">
        <f>(D4-D5)/D9</f>
        <v>74.965000000000003</v>
      </c>
      <c r="E11" s="13">
        <f>(E4-E5)/E9</f>
        <v>102.151015625</v>
      </c>
      <c r="F11" s="13">
        <f>(F4-F5)/F9</f>
        <v>132.44624999999999</v>
      </c>
      <c r="G11" s="13">
        <f>(G4-G5)/G9</f>
        <v>125.89098360655738</v>
      </c>
      <c r="H11" s="11"/>
      <c r="I11" s="11">
        <f>AVERAGE(B11:G11)</f>
        <v>103.40952302007439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1" ht="28.9">
      <c r="A12" s="16" t="s">
        <v>31</v>
      </c>
      <c r="B12" s="13">
        <f>(B4-B5-B6)/B9</f>
        <v>75.509537037037049</v>
      </c>
      <c r="C12" s="13">
        <f>(C4-C5-C6)/C9</f>
        <v>84.976666666666674</v>
      </c>
      <c r="D12" s="13">
        <f>(D4-D5-D6)/D9</f>
        <v>63.480000000000004</v>
      </c>
      <c r="E12" s="13">
        <f>(E4-E5-E6)/E9</f>
        <v>87.363828124999998</v>
      </c>
      <c r="F12" s="13">
        <f>(F4-F5-F6)/F9</f>
        <v>109.84124999999999</v>
      </c>
      <c r="G12" s="13">
        <f>(G4-G5-G6)/G9</f>
        <v>112.46819672131149</v>
      </c>
      <c r="H12" s="11"/>
      <c r="I12" s="11">
        <f>AVERAGE(B12:G12)</f>
        <v>88.939913091669212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s="15" customFormat="1" ht="5.45" customHeight="1">
      <c r="A13" s="14"/>
      <c r="B13" s="14"/>
      <c r="C13" s="14"/>
      <c r="D13" s="14"/>
      <c r="E13" s="14"/>
      <c r="F13" s="14"/>
      <c r="G13" s="14"/>
    </row>
    <row r="14" spans="1:31" ht="28.9">
      <c r="A14" s="16" t="s">
        <v>32</v>
      </c>
      <c r="B14" s="13">
        <f>B10-B12</f>
        <v>19.230648148148134</v>
      </c>
      <c r="C14" s="13">
        <f>C10-C12</f>
        <v>15.666666666666657</v>
      </c>
      <c r="D14" s="13">
        <f>D10-D12</f>
        <v>17.484999999999999</v>
      </c>
      <c r="E14" s="13">
        <f>E10-E12</f>
        <v>20.117265625000002</v>
      </c>
      <c r="F14" s="13">
        <f>F10-F12</f>
        <v>34.524375000000006</v>
      </c>
      <c r="G14" s="13">
        <f>G10-G12</f>
        <v>19.521147540983591</v>
      </c>
      <c r="H14" s="11"/>
      <c r="I14" s="11">
        <f>SUM(B14:G14)</f>
        <v>126.54510298079839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1" ht="28.9">
      <c r="A15" s="16" t="s">
        <v>33</v>
      </c>
      <c r="B15" s="13">
        <f>B11-B12</f>
        <v>14.184351851851844</v>
      </c>
      <c r="C15" s="13">
        <f>C11-C12</f>
        <v>10.333333333333329</v>
      </c>
      <c r="D15" s="13">
        <f>D11-D12</f>
        <v>11.484999999999999</v>
      </c>
      <c r="E15" s="13">
        <f>E11-E12</f>
        <v>14.787187500000002</v>
      </c>
      <c r="F15" s="13">
        <f>F11-F12</f>
        <v>22.605000000000004</v>
      </c>
      <c r="G15" s="13">
        <f>G11-G12</f>
        <v>13.422786885245898</v>
      </c>
      <c r="H15" s="11"/>
      <c r="I15" s="11">
        <f>SUM(B15:G15)</f>
        <v>86.817659570431076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7" spans="1:17">
      <c r="A17" s="25" t="s">
        <v>34</v>
      </c>
      <c r="B17" s="25" t="s">
        <v>41</v>
      </c>
      <c r="C17" s="25" t="s">
        <v>42</v>
      </c>
      <c r="D17" s="25" t="s">
        <v>43</v>
      </c>
      <c r="E17" s="25" t="s">
        <v>44</v>
      </c>
      <c r="F17" s="56"/>
      <c r="G17" s="56"/>
      <c r="I17" s="2"/>
    </row>
    <row r="18" spans="1:17" ht="69" customHeight="1">
      <c r="A18" s="26" t="s">
        <v>9</v>
      </c>
      <c r="B18" s="27" t="s">
        <v>12</v>
      </c>
      <c r="C18" s="27" t="s">
        <v>47</v>
      </c>
      <c r="D18" s="27" t="s">
        <v>48</v>
      </c>
      <c r="E18" s="27" t="s">
        <v>49</v>
      </c>
      <c r="F18" s="55"/>
      <c r="G18" s="55"/>
      <c r="I18" s="5"/>
      <c r="Q18" s="21"/>
    </row>
    <row r="19" spans="1:17" ht="15" thickBot="1">
      <c r="A19" s="28" t="s">
        <v>17</v>
      </c>
      <c r="B19" s="29" t="s">
        <v>51</v>
      </c>
      <c r="C19" s="29" t="s">
        <v>52</v>
      </c>
      <c r="D19" s="29" t="s">
        <v>52</v>
      </c>
      <c r="E19" s="29" t="s">
        <v>53</v>
      </c>
      <c r="F19" s="54"/>
      <c r="G19" s="54"/>
      <c r="I19" s="8"/>
    </row>
    <row r="20" spans="1:17" s="17" customFormat="1">
      <c r="A20" s="30" t="s">
        <v>38</v>
      </c>
      <c r="B20" s="31">
        <v>132503.24</v>
      </c>
      <c r="C20" s="31">
        <v>0</v>
      </c>
      <c r="D20" s="31">
        <v>2978.07</v>
      </c>
      <c r="E20" s="31">
        <v>280438.38</v>
      </c>
      <c r="F20" s="53"/>
      <c r="G20" s="53"/>
      <c r="I20" s="17">
        <f>SUM(B20:G20)</f>
        <v>415919.69</v>
      </c>
    </row>
    <row r="21" spans="1:17" s="20" customFormat="1">
      <c r="A21" s="32" t="s">
        <v>39</v>
      </c>
      <c r="B21" s="33">
        <v>0.14399999999999999</v>
      </c>
      <c r="C21" s="33" t="s">
        <v>57</v>
      </c>
      <c r="D21" s="33">
        <v>0.161</v>
      </c>
      <c r="E21" s="33">
        <v>0.16009999999999999</v>
      </c>
      <c r="F21" s="52"/>
      <c r="G21" s="52"/>
      <c r="I21" s="20">
        <f>AVERAGE(B21:G21)</f>
        <v>0.15503333333333333</v>
      </c>
    </row>
    <row r="22" spans="1:17">
      <c r="A22" s="34" t="s">
        <v>40</v>
      </c>
      <c r="B22" s="36">
        <v>1827</v>
      </c>
      <c r="C22" s="35">
        <v>0</v>
      </c>
      <c r="D22" s="35">
        <v>31</v>
      </c>
      <c r="E22" s="36">
        <v>2889</v>
      </c>
      <c r="F22" s="51"/>
      <c r="G22" s="51"/>
      <c r="I22" s="50">
        <f>SUM(B22:G22)</f>
        <v>4747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2607-3864-4DE7-9D9F-7425C8C826EB}">
  <dimension ref="A1:AE22"/>
  <sheetViews>
    <sheetView zoomScale="75" zoomScaleNormal="75" workbookViewId="0">
      <selection activeCell="A17" sqref="A17:E22"/>
    </sheetView>
  </sheetViews>
  <sheetFormatPr defaultRowHeight="14.45"/>
  <cols>
    <col min="1" max="1" width="30.7109375" customWidth="1"/>
    <col min="2" max="2" width="20.7109375" customWidth="1"/>
    <col min="3" max="3" width="25.7109375" customWidth="1"/>
    <col min="4" max="4" width="20.7109375" customWidth="1"/>
    <col min="5" max="6" width="22.140625" customWidth="1"/>
    <col min="7" max="7" width="20.7109375" customWidth="1"/>
    <col min="8" max="8" width="21.28515625" customWidth="1"/>
    <col min="9" max="9" width="15.85546875" customWidth="1"/>
  </cols>
  <sheetData>
    <row r="1" spans="1:31" s="2" customFormat="1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I1" s="2" t="s">
        <v>8</v>
      </c>
    </row>
    <row r="2" spans="1:31" s="5" customFormat="1" ht="100.9" customHeight="1">
      <c r="A2" s="3" t="s">
        <v>9</v>
      </c>
      <c r="B2" s="18" t="s">
        <v>12</v>
      </c>
      <c r="C2" s="18" t="s">
        <v>64</v>
      </c>
      <c r="D2" s="18" t="s">
        <v>65</v>
      </c>
      <c r="E2" s="18" t="s">
        <v>66</v>
      </c>
      <c r="F2" s="18" t="s">
        <v>67</v>
      </c>
      <c r="G2" s="18" t="s">
        <v>67</v>
      </c>
      <c r="H2" s="4"/>
    </row>
    <row r="3" spans="1:31" s="4" customFormat="1" ht="15" thickBot="1">
      <c r="A3" s="6" t="s">
        <v>17</v>
      </c>
      <c r="B3" s="7" t="s">
        <v>68</v>
      </c>
      <c r="C3" s="7" t="s">
        <v>69</v>
      </c>
      <c r="D3" s="7" t="s">
        <v>69</v>
      </c>
      <c r="E3" s="7" t="s">
        <v>69</v>
      </c>
      <c r="F3" s="7" t="s">
        <v>70</v>
      </c>
      <c r="G3" s="7" t="s">
        <v>70</v>
      </c>
      <c r="I3" s="8"/>
    </row>
    <row r="4" spans="1:31">
      <c r="A4" s="9" t="s">
        <v>24</v>
      </c>
      <c r="B4" s="10">
        <v>14950.43</v>
      </c>
      <c r="C4" s="10">
        <v>4517.96</v>
      </c>
      <c r="D4" s="10">
        <v>1210.95</v>
      </c>
      <c r="E4" s="10">
        <v>1532.29</v>
      </c>
      <c r="F4" s="10">
        <v>137.88</v>
      </c>
      <c r="G4" s="10">
        <v>175.94</v>
      </c>
      <c r="H4" s="11"/>
      <c r="I4" s="11">
        <f>SUM(B4:G4)</f>
        <v>22525.45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>
      <c r="A5" s="12" t="s">
        <v>25</v>
      </c>
      <c r="B5" s="13">
        <v>557</v>
      </c>
      <c r="C5" s="13">
        <v>259</v>
      </c>
      <c r="D5" s="13">
        <v>107</v>
      </c>
      <c r="E5" s="13">
        <v>133.5</v>
      </c>
      <c r="F5" s="13">
        <v>13</v>
      </c>
      <c r="G5" s="13">
        <v>8</v>
      </c>
      <c r="H5" s="11"/>
      <c r="I5" s="11">
        <f>SUM(B5:G5)</f>
        <v>1077.5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>
      <c r="A6" s="12" t="s">
        <v>26</v>
      </c>
      <c r="B6" s="13">
        <v>2132.56</v>
      </c>
      <c r="C6" s="13">
        <v>854.79</v>
      </c>
      <c r="D6" s="13">
        <v>211.95</v>
      </c>
      <c r="E6" s="13">
        <v>273.98</v>
      </c>
      <c r="F6" s="13">
        <v>38</v>
      </c>
      <c r="G6" s="13">
        <v>15</v>
      </c>
      <c r="H6" s="11"/>
      <c r="I6" s="11">
        <f>SUM(B6:G6)</f>
        <v>3526.2799999999997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>
      <c r="A7" s="12" t="s">
        <v>56</v>
      </c>
      <c r="B7" s="13">
        <f>B4-B5-B6</f>
        <v>12260.87</v>
      </c>
      <c r="C7" s="13">
        <f>C4-C5-C6</f>
        <v>3404.17</v>
      </c>
      <c r="D7" s="13">
        <f>D4-D5-D6</f>
        <v>892</v>
      </c>
      <c r="E7" s="13">
        <f>E4-E5-E6</f>
        <v>1124.81</v>
      </c>
      <c r="F7" s="13">
        <f>F4-F5-F6</f>
        <v>86.88</v>
      </c>
      <c r="G7" s="13">
        <f>G4-G5-G6</f>
        <v>152.94</v>
      </c>
      <c r="H7" s="11"/>
      <c r="I7" s="11">
        <f>SUM(B7:G7)</f>
        <v>17921.670000000002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s="15" customFormat="1" ht="5.45" customHeight="1">
      <c r="A8" s="14"/>
      <c r="B8" s="14"/>
      <c r="C8" s="14"/>
      <c r="D8" s="14"/>
      <c r="E8" s="14"/>
      <c r="F8" s="14"/>
      <c r="G8" s="14"/>
    </row>
    <row r="9" spans="1:31">
      <c r="A9" s="12" t="s">
        <v>28</v>
      </c>
      <c r="B9" s="23">
        <v>155</v>
      </c>
      <c r="C9" s="23">
        <v>46</v>
      </c>
      <c r="D9" s="23">
        <v>10</v>
      </c>
      <c r="E9" s="19">
        <v>26</v>
      </c>
      <c r="F9" s="19">
        <v>1</v>
      </c>
      <c r="G9" s="19">
        <v>1</v>
      </c>
      <c r="I9" s="22">
        <f>SUM(B9:G9)</f>
        <v>239</v>
      </c>
    </row>
    <row r="10" spans="1:31">
      <c r="A10" s="12" t="s">
        <v>29</v>
      </c>
      <c r="B10" s="13">
        <f>B4/B9</f>
        <v>96.454387096774198</v>
      </c>
      <c r="C10" s="13">
        <f>C4/C9</f>
        <v>98.216521739130442</v>
      </c>
      <c r="D10" s="13">
        <f>D4/D9</f>
        <v>121.095</v>
      </c>
      <c r="E10" s="13">
        <f>E4/E9</f>
        <v>58.934230769230766</v>
      </c>
      <c r="F10" s="13">
        <f>F4/F9</f>
        <v>137.88</v>
      </c>
      <c r="G10" s="13">
        <f>G4/G9</f>
        <v>175.94</v>
      </c>
      <c r="H10" s="11"/>
      <c r="I10" s="11">
        <f>AVERAGE(B10:G10)</f>
        <v>114.75335660085591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>
      <c r="A11" s="12" t="s">
        <v>30</v>
      </c>
      <c r="B11" s="13">
        <f>(B4-B5)/B9</f>
        <v>92.860838709677424</v>
      </c>
      <c r="C11" s="13">
        <f>(C4-C5)/C9</f>
        <v>92.58608695652174</v>
      </c>
      <c r="D11" s="13">
        <f>(D4-D5)/D9</f>
        <v>110.39500000000001</v>
      </c>
      <c r="E11" s="13">
        <f>(E4-E5)/E9</f>
        <v>53.799615384615386</v>
      </c>
      <c r="F11" s="13">
        <f>(F4-F5)/F9</f>
        <v>124.88</v>
      </c>
      <c r="G11" s="13">
        <f>(G4-G5)/G9</f>
        <v>167.94</v>
      </c>
      <c r="H11" s="11"/>
      <c r="I11" s="11">
        <f>AVERAGE(B11:G11)</f>
        <v>107.07692350846908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1" ht="28.9">
      <c r="A12" s="16" t="s">
        <v>31</v>
      </c>
      <c r="B12" s="13">
        <f>(B4-B5-B6)/B9</f>
        <v>79.102387096774194</v>
      </c>
      <c r="C12" s="13">
        <f>(C4-C5-C6)/C9</f>
        <v>74.003695652173917</v>
      </c>
      <c r="D12" s="13">
        <f>(D4-D5-D6)/D9</f>
        <v>89.2</v>
      </c>
      <c r="E12" s="13">
        <f>(E4-E5-E6)/E9</f>
        <v>43.261923076923075</v>
      </c>
      <c r="F12" s="13">
        <f>(F4-F5-F6)/F9</f>
        <v>86.88</v>
      </c>
      <c r="G12" s="13">
        <f>(G4-G5-G6)/G9</f>
        <v>152.94</v>
      </c>
      <c r="H12" s="11"/>
      <c r="I12" s="11">
        <f>AVERAGE(B12:G12)</f>
        <v>87.564667637645201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s="15" customFormat="1" ht="5.45" customHeight="1">
      <c r="A13" s="14"/>
      <c r="B13" s="14"/>
      <c r="C13" s="14"/>
      <c r="D13" s="14"/>
      <c r="E13" s="14"/>
      <c r="F13" s="14"/>
      <c r="G13" s="14"/>
    </row>
    <row r="14" spans="1:31" ht="28.9">
      <c r="A14" s="16" t="s">
        <v>32</v>
      </c>
      <c r="B14" s="13">
        <f>B10-B12</f>
        <v>17.352000000000004</v>
      </c>
      <c r="C14" s="13">
        <f>C10-C12</f>
        <v>24.212826086956525</v>
      </c>
      <c r="D14" s="13">
        <f>D10-D12</f>
        <v>31.894999999999996</v>
      </c>
      <c r="E14" s="13">
        <f>E10-E12</f>
        <v>15.67230769230769</v>
      </c>
      <c r="F14" s="13">
        <f>F10-F12</f>
        <v>51</v>
      </c>
      <c r="G14" s="13">
        <f>G10-G12</f>
        <v>23</v>
      </c>
      <c r="H14" s="11"/>
      <c r="I14" s="11">
        <f>SUM(B14:G14)</f>
        <v>163.13213377926422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1" ht="28.9">
      <c r="A15" s="16" t="s">
        <v>33</v>
      </c>
      <c r="B15" s="13">
        <f>B11-B12</f>
        <v>13.758451612903229</v>
      </c>
      <c r="C15" s="13">
        <f>C11-C12</f>
        <v>18.582391304347823</v>
      </c>
      <c r="D15" s="13">
        <f>D11-D12</f>
        <v>21.195000000000007</v>
      </c>
      <c r="E15" s="13">
        <f>E11-E12</f>
        <v>10.537692307692311</v>
      </c>
      <c r="F15" s="13">
        <f>F11-F12</f>
        <v>38</v>
      </c>
      <c r="G15" s="13">
        <f>G11-G12</f>
        <v>15</v>
      </c>
      <c r="H15" s="11"/>
      <c r="I15" s="11">
        <f>SUM(B15:G15)</f>
        <v>117.07353522494337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7" spans="1:17">
      <c r="A17" s="25" t="s">
        <v>34</v>
      </c>
      <c r="B17" s="25" t="s">
        <v>58</v>
      </c>
      <c r="C17" s="25" t="s">
        <v>59</v>
      </c>
      <c r="D17" s="25" t="s">
        <v>60</v>
      </c>
      <c r="E17" s="25" t="s">
        <v>61</v>
      </c>
      <c r="F17" s="25" t="s">
        <v>62</v>
      </c>
      <c r="G17" s="25" t="s">
        <v>63</v>
      </c>
      <c r="I17" s="2"/>
    </row>
    <row r="18" spans="1:17" ht="66" customHeight="1">
      <c r="A18" s="26" t="s">
        <v>9</v>
      </c>
      <c r="B18" s="27" t="s">
        <v>12</v>
      </c>
      <c r="C18" s="27" t="s">
        <v>71</v>
      </c>
      <c r="D18" s="27" t="s">
        <v>65</v>
      </c>
      <c r="E18" s="27" t="s">
        <v>66</v>
      </c>
      <c r="F18" s="27" t="s">
        <v>67</v>
      </c>
      <c r="G18" s="27" t="s">
        <v>67</v>
      </c>
      <c r="I18" s="5"/>
      <c r="Q18" s="21"/>
    </row>
    <row r="19" spans="1:17" ht="15" thickBot="1">
      <c r="A19" s="28" t="s">
        <v>17</v>
      </c>
      <c r="B19" s="29" t="s">
        <v>68</v>
      </c>
      <c r="C19" s="29" t="s">
        <v>69</v>
      </c>
      <c r="D19" s="29" t="s">
        <v>69</v>
      </c>
      <c r="E19" s="29" t="s">
        <v>69</v>
      </c>
      <c r="F19" s="29" t="s">
        <v>70</v>
      </c>
      <c r="G19" s="29" t="s">
        <v>70</v>
      </c>
      <c r="I19" s="8"/>
    </row>
    <row r="20" spans="1:17" s="17" customFormat="1">
      <c r="A20" s="30" t="s">
        <v>38</v>
      </c>
      <c r="B20" s="31">
        <v>150242.54999999999</v>
      </c>
      <c r="C20" s="31">
        <v>6189.45</v>
      </c>
      <c r="D20" s="31">
        <v>4397.38</v>
      </c>
      <c r="E20" s="31">
        <v>1166.52</v>
      </c>
      <c r="F20" s="31">
        <v>8786.7999999999993</v>
      </c>
      <c r="G20" s="31">
        <v>7921.21</v>
      </c>
      <c r="I20" s="17">
        <f>SUM(B20:G20)</f>
        <v>178703.90999999997</v>
      </c>
    </row>
    <row r="21" spans="1:17" s="20" customFormat="1">
      <c r="A21" s="32" t="s">
        <v>39</v>
      </c>
      <c r="B21" s="33">
        <v>0.1527</v>
      </c>
      <c r="C21" s="33">
        <v>9.5200000000000007E-2</v>
      </c>
      <c r="D21" s="33">
        <v>-6.7999999999999996E-3</v>
      </c>
      <c r="E21" s="33">
        <v>-4.0000000000000001E-3</v>
      </c>
      <c r="F21" s="33">
        <v>0.10920000000000001</v>
      </c>
      <c r="G21" s="33">
        <v>9.5200000000000007E-2</v>
      </c>
      <c r="I21" s="20">
        <f>AVERAGE(B21:G21)</f>
        <v>7.3583333333333334E-2</v>
      </c>
    </row>
    <row r="22" spans="1:17">
      <c r="A22" s="34" t="s">
        <v>40</v>
      </c>
      <c r="B22" s="35">
        <v>2129</v>
      </c>
      <c r="C22" s="35">
        <v>92</v>
      </c>
      <c r="D22" s="35">
        <v>102</v>
      </c>
      <c r="E22" s="35">
        <v>33</v>
      </c>
      <c r="F22" s="35">
        <v>93</v>
      </c>
      <c r="G22" s="35">
        <v>77</v>
      </c>
      <c r="I22" s="50">
        <f>SUM(B22:G22)</f>
        <v>2526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F47A-605F-4954-A28E-B8931735DAE6}">
  <dimension ref="A1:AF22"/>
  <sheetViews>
    <sheetView zoomScale="75" zoomScaleNormal="75" workbookViewId="0">
      <selection activeCell="A17" sqref="A17:H22"/>
    </sheetView>
  </sheetViews>
  <sheetFormatPr defaultRowHeight="14.45"/>
  <cols>
    <col min="1" max="1" width="30.7109375" customWidth="1"/>
    <col min="2" max="2" width="22.140625" customWidth="1"/>
    <col min="3" max="3" width="25.7109375" customWidth="1"/>
    <col min="4" max="4" width="20.7109375" customWidth="1"/>
    <col min="5" max="5" width="22.140625" customWidth="1"/>
    <col min="6" max="6" width="20.7109375" customWidth="1"/>
    <col min="7" max="8" width="25.7109375" customWidth="1"/>
    <col min="9" max="9" width="21.28515625" customWidth="1"/>
    <col min="10" max="10" width="15.85546875" customWidth="1"/>
  </cols>
  <sheetData>
    <row r="1" spans="1:32" s="2" customFormat="1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J1" s="2" t="s">
        <v>8</v>
      </c>
    </row>
    <row r="2" spans="1:32" s="5" customFormat="1" ht="100.9" customHeight="1">
      <c r="A2" s="3" t="s">
        <v>9</v>
      </c>
      <c r="B2" s="18" t="s">
        <v>79</v>
      </c>
      <c r="C2" s="18" t="s">
        <v>80</v>
      </c>
      <c r="D2" s="18" t="s">
        <v>81</v>
      </c>
      <c r="E2" s="18" t="s">
        <v>82</v>
      </c>
      <c r="F2" s="18" t="s">
        <v>12</v>
      </c>
      <c r="G2" s="18" t="s">
        <v>83</v>
      </c>
      <c r="H2" s="18" t="s">
        <v>84</v>
      </c>
      <c r="I2" s="4"/>
    </row>
    <row r="3" spans="1:32" s="4" customFormat="1" ht="15" thickBot="1">
      <c r="A3" s="6" t="s">
        <v>17</v>
      </c>
      <c r="B3" s="7" t="s">
        <v>85</v>
      </c>
      <c r="C3" s="7" t="s">
        <v>85</v>
      </c>
      <c r="D3" s="7" t="s">
        <v>85</v>
      </c>
      <c r="E3" s="7" t="s">
        <v>85</v>
      </c>
      <c r="F3" s="7" t="s">
        <v>86</v>
      </c>
      <c r="G3" s="7" t="s">
        <v>87</v>
      </c>
      <c r="H3" s="7" t="s">
        <v>88</v>
      </c>
      <c r="J3" s="8"/>
    </row>
    <row r="4" spans="1:32">
      <c r="A4" s="9" t="s">
        <v>24</v>
      </c>
      <c r="B4" s="10">
        <v>5474.17</v>
      </c>
      <c r="C4" s="10">
        <v>2818.11</v>
      </c>
      <c r="D4" s="10">
        <v>1210.95</v>
      </c>
      <c r="E4" s="10">
        <v>2611.0100000000002</v>
      </c>
      <c r="F4" s="10">
        <v>16142.43</v>
      </c>
      <c r="G4" s="10">
        <v>1820.97</v>
      </c>
      <c r="H4" s="10">
        <v>4204.26</v>
      </c>
      <c r="I4" s="11"/>
      <c r="J4" s="11">
        <f>SUM(B4:H4)</f>
        <v>34281.9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32">
      <c r="A5" s="12" t="s">
        <v>25</v>
      </c>
      <c r="B5" s="13">
        <v>207</v>
      </c>
      <c r="C5" s="13">
        <v>152</v>
      </c>
      <c r="D5" s="13">
        <v>107</v>
      </c>
      <c r="E5" s="13">
        <v>225</v>
      </c>
      <c r="F5" s="13">
        <v>744.7</v>
      </c>
      <c r="G5" s="13">
        <v>158.6</v>
      </c>
      <c r="H5" s="13">
        <v>373</v>
      </c>
      <c r="I5" s="11"/>
      <c r="J5" s="11">
        <f>SUM(B5:H5)</f>
        <v>1967.3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>
      <c r="A6" s="12" t="s">
        <v>26</v>
      </c>
      <c r="B6" s="13">
        <v>525.92999999999995</v>
      </c>
      <c r="C6" s="13">
        <v>524.41</v>
      </c>
      <c r="D6" s="13">
        <v>211.95</v>
      </c>
      <c r="E6" s="13">
        <v>563.87</v>
      </c>
      <c r="F6" s="13">
        <v>2274.84</v>
      </c>
      <c r="G6" s="13">
        <v>186.45</v>
      </c>
      <c r="H6" s="13">
        <v>501.96</v>
      </c>
      <c r="I6" s="11"/>
      <c r="J6" s="11">
        <f>SUM(B6:H6)</f>
        <v>4789.41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>
      <c r="A7" s="12" t="s">
        <v>56</v>
      </c>
      <c r="B7" s="13">
        <f>B4-B5-B6</f>
        <v>4741.24</v>
      </c>
      <c r="C7" s="13">
        <f>C4-C5-C6</f>
        <v>2141.7000000000003</v>
      </c>
      <c r="D7" s="13">
        <f>D4-D5-D6</f>
        <v>892</v>
      </c>
      <c r="E7" s="13">
        <f>E4-E5-E6</f>
        <v>1822.1400000000003</v>
      </c>
      <c r="F7" s="13">
        <f>F4-F5-F6</f>
        <v>13122.89</v>
      </c>
      <c r="G7" s="13">
        <f>G4-G5-G6</f>
        <v>1475.92</v>
      </c>
      <c r="H7" s="13">
        <f>H4-H5-H6</f>
        <v>3329.3</v>
      </c>
      <c r="I7" s="11"/>
      <c r="J7" s="11">
        <f>SUM(B7:H7)</f>
        <v>27525.19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s="15" customFormat="1" ht="5.45" customHeight="1">
      <c r="A8" s="14"/>
      <c r="B8" s="14"/>
      <c r="C8" s="14"/>
      <c r="D8" s="14"/>
      <c r="E8" s="14"/>
      <c r="F8" s="14"/>
      <c r="G8" s="14"/>
      <c r="H8" s="14"/>
    </row>
    <row r="9" spans="1:32">
      <c r="A9" s="12" t="s">
        <v>28</v>
      </c>
      <c r="B9" s="23">
        <v>53</v>
      </c>
      <c r="C9" s="23">
        <v>37</v>
      </c>
      <c r="D9" s="23">
        <v>10</v>
      </c>
      <c r="E9" s="19">
        <v>127</v>
      </c>
      <c r="F9" s="23">
        <v>146</v>
      </c>
      <c r="G9" s="23">
        <v>25</v>
      </c>
      <c r="H9" s="23">
        <v>64</v>
      </c>
      <c r="J9" s="22">
        <f>SUM(B9:H9)</f>
        <v>462</v>
      </c>
    </row>
    <row r="10" spans="1:32">
      <c r="A10" s="12" t="s">
        <v>29</v>
      </c>
      <c r="B10" s="13">
        <f>B4/B9</f>
        <v>103.28622641509435</v>
      </c>
      <c r="C10" s="13">
        <f>C4/C9</f>
        <v>76.165135135135145</v>
      </c>
      <c r="D10" s="13">
        <f>D4/D9</f>
        <v>121.095</v>
      </c>
      <c r="E10" s="13">
        <f>E4/E9</f>
        <v>20.559133858267717</v>
      </c>
      <c r="F10" s="13">
        <f>F4/F9</f>
        <v>110.56458904109589</v>
      </c>
      <c r="G10" s="13">
        <f>G4/G9</f>
        <v>72.838800000000006</v>
      </c>
      <c r="H10" s="13">
        <f>H4/H9</f>
        <v>65.691562500000003</v>
      </c>
      <c r="I10" s="11"/>
      <c r="J10" s="11">
        <f>AVERAGE(B10:H10)</f>
        <v>81.457206707084723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>
      <c r="A11" s="12" t="s">
        <v>30</v>
      </c>
      <c r="B11" s="13">
        <f>(B4-B5)/B9</f>
        <v>99.380566037735846</v>
      </c>
      <c r="C11" s="13">
        <f>(C4-C5)/C9</f>
        <v>72.057027027027033</v>
      </c>
      <c r="D11" s="13">
        <f>(D4-D5)/D9</f>
        <v>110.39500000000001</v>
      </c>
      <c r="E11" s="13">
        <f>(E4-E5)/E9</f>
        <v>18.787480314960632</v>
      </c>
      <c r="F11" s="13">
        <f>(F4-F5)/F9</f>
        <v>105.46390410958904</v>
      </c>
      <c r="G11" s="13">
        <f>(G4-G5)/G9</f>
        <v>66.494799999999998</v>
      </c>
      <c r="H11" s="13">
        <f>(H4-H5)/H9</f>
        <v>59.863437500000003</v>
      </c>
      <c r="I11" s="11"/>
      <c r="J11" s="11">
        <f>AVERAGE(B11:H11)</f>
        <v>76.063173569901792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ht="28.9">
      <c r="A12" s="16" t="s">
        <v>31</v>
      </c>
      <c r="B12" s="13">
        <f>(B4-B5-B6)/B9</f>
        <v>89.457358490566037</v>
      </c>
      <c r="C12" s="13">
        <f>(C4-C5-C6)/C9</f>
        <v>57.883783783783791</v>
      </c>
      <c r="D12" s="13">
        <f>(D4-D5-D6)/D9</f>
        <v>89.2</v>
      </c>
      <c r="E12" s="13">
        <f>(E4-E5-E6)/E9</f>
        <v>14.347559055118113</v>
      </c>
      <c r="F12" s="13">
        <f>(F4-F5-F6)/F9</f>
        <v>89.882808219178074</v>
      </c>
      <c r="G12" s="13">
        <f>(G4-G5-G6)/G9</f>
        <v>59.036799999999999</v>
      </c>
      <c r="H12" s="13">
        <f>(H4-H5-H6)/H9</f>
        <v>52.020312500000003</v>
      </c>
      <c r="I12" s="11"/>
      <c r="J12" s="11">
        <f>AVERAGE(B12:H12)</f>
        <v>64.54694600694944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s="15" customFormat="1" ht="5.45" customHeight="1">
      <c r="A13" s="14"/>
      <c r="B13" s="14"/>
      <c r="C13" s="14"/>
      <c r="D13" s="14"/>
      <c r="E13" s="14"/>
      <c r="F13" s="14"/>
      <c r="G13" s="14"/>
      <c r="H13" s="14"/>
    </row>
    <row r="14" spans="1:32" ht="28.9">
      <c r="A14" s="16" t="s">
        <v>32</v>
      </c>
      <c r="B14" s="13">
        <f>B10-B12</f>
        <v>13.828867924528311</v>
      </c>
      <c r="C14" s="13">
        <f>C10-C12</f>
        <v>18.281351351351354</v>
      </c>
      <c r="D14" s="13">
        <f>D10-D12</f>
        <v>31.894999999999996</v>
      </c>
      <c r="E14" s="13">
        <f>E10-E12</f>
        <v>6.2115748031496043</v>
      </c>
      <c r="F14" s="13">
        <f>F10-F12</f>
        <v>20.681780821917812</v>
      </c>
      <c r="G14" s="13">
        <f>G10-G12</f>
        <v>13.802000000000007</v>
      </c>
      <c r="H14" s="13">
        <f>H10-H12</f>
        <v>13.671250000000001</v>
      </c>
      <c r="I14" s="11"/>
      <c r="J14" s="11">
        <f>SUM(B14:H14)</f>
        <v>118.37182490094708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ht="28.9">
      <c r="A15" s="16" t="s">
        <v>33</v>
      </c>
      <c r="B15" s="13">
        <f>B11-B12</f>
        <v>9.9232075471698096</v>
      </c>
      <c r="C15" s="13">
        <f>C11-C12</f>
        <v>14.173243243243242</v>
      </c>
      <c r="D15" s="13">
        <f>D11-D12</f>
        <v>21.195000000000007</v>
      </c>
      <c r="E15" s="13">
        <f>E11-E12</f>
        <v>4.4399212598425191</v>
      </c>
      <c r="F15" s="13">
        <f>F11-F12</f>
        <v>15.581095890410964</v>
      </c>
      <c r="G15" s="13">
        <f>G11-G12</f>
        <v>7.4579999999999984</v>
      </c>
      <c r="H15" s="13">
        <f>H11-H12</f>
        <v>7.8431250000000006</v>
      </c>
      <c r="I15" s="11"/>
      <c r="J15" s="11">
        <f>SUM(B15:H15)</f>
        <v>80.61359294066655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7" spans="1:18">
      <c r="A17" s="25" t="s">
        <v>34</v>
      </c>
      <c r="B17" s="25" t="s">
        <v>72</v>
      </c>
      <c r="C17" s="25" t="s">
        <v>73</v>
      </c>
      <c r="D17" s="25" t="s">
        <v>74</v>
      </c>
      <c r="E17" s="25"/>
      <c r="F17" s="25" t="s">
        <v>76</v>
      </c>
      <c r="G17" s="25" t="s">
        <v>77</v>
      </c>
      <c r="H17" s="25" t="s">
        <v>78</v>
      </c>
      <c r="J17" s="2"/>
    </row>
    <row r="18" spans="1:18" ht="72">
      <c r="A18" s="26" t="s">
        <v>9</v>
      </c>
      <c r="B18" s="27" t="s">
        <v>79</v>
      </c>
      <c r="C18" s="27" t="s">
        <v>80</v>
      </c>
      <c r="D18" s="27" t="s">
        <v>81</v>
      </c>
      <c r="E18" s="27"/>
      <c r="F18" s="27" t="s">
        <v>12</v>
      </c>
      <c r="G18" s="27" t="s">
        <v>83</v>
      </c>
      <c r="H18" s="27" t="s">
        <v>84</v>
      </c>
      <c r="J18" s="5"/>
      <c r="R18" s="21"/>
    </row>
    <row r="19" spans="1:18" ht="15" thickBot="1">
      <c r="A19" s="28" t="s">
        <v>17</v>
      </c>
      <c r="B19" s="29" t="s">
        <v>85</v>
      </c>
      <c r="C19" s="29" t="s">
        <v>85</v>
      </c>
      <c r="D19" s="29" t="s">
        <v>85</v>
      </c>
      <c r="E19" s="29"/>
      <c r="F19" s="29" t="s">
        <v>86</v>
      </c>
      <c r="G19" s="29" t="s">
        <v>87</v>
      </c>
      <c r="H19" s="29" t="s">
        <v>88</v>
      </c>
      <c r="J19" s="8"/>
    </row>
    <row r="20" spans="1:18" s="17" customFormat="1">
      <c r="A20" s="30" t="s">
        <v>38</v>
      </c>
      <c r="B20" s="31">
        <v>14326.75</v>
      </c>
      <c r="C20" s="31">
        <v>2638.92</v>
      </c>
      <c r="D20" s="31">
        <v>485.4</v>
      </c>
      <c r="E20" s="31"/>
      <c r="F20" s="31">
        <v>109972.82</v>
      </c>
      <c r="G20" s="31">
        <v>13751.35</v>
      </c>
      <c r="H20" s="31">
        <v>39428.44</v>
      </c>
      <c r="J20" s="17">
        <f>SUM(B20:H20)</f>
        <v>180603.68000000002</v>
      </c>
    </row>
    <row r="21" spans="1:18" s="20" customFormat="1">
      <c r="A21" s="32" t="s">
        <v>39</v>
      </c>
      <c r="B21" s="33">
        <v>0.18029999999999999</v>
      </c>
      <c r="C21" s="33">
        <v>0.11269999999999999</v>
      </c>
      <c r="D21" s="33">
        <v>8.0299999999999996E-2</v>
      </c>
      <c r="E21" s="33"/>
      <c r="F21" s="33">
        <v>0.14219999999999999</v>
      </c>
      <c r="G21" s="33">
        <v>0.24979999999999999</v>
      </c>
      <c r="H21" s="33">
        <v>0.25590000000000002</v>
      </c>
      <c r="J21" s="20">
        <f>AVERAGE(B21:H21)</f>
        <v>0.17019999999999999</v>
      </c>
    </row>
    <row r="22" spans="1:18">
      <c r="A22" s="34" t="s">
        <v>40</v>
      </c>
      <c r="B22" s="35">
        <v>129</v>
      </c>
      <c r="C22" s="35">
        <v>40</v>
      </c>
      <c r="D22" s="35">
        <v>10</v>
      </c>
      <c r="E22" s="35"/>
      <c r="F22" s="35">
        <v>1703</v>
      </c>
      <c r="G22" s="35">
        <v>294</v>
      </c>
      <c r="H22" s="35">
        <v>627</v>
      </c>
      <c r="J22" s="50">
        <f>SUM(B22:H22)</f>
        <v>2803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8D5E-14D5-4805-A7A8-088C581A4A80}">
  <dimension ref="A1:AH22"/>
  <sheetViews>
    <sheetView zoomScale="75" zoomScaleNormal="75" workbookViewId="0">
      <selection activeCell="A17" sqref="A17:J22"/>
    </sheetView>
  </sheetViews>
  <sheetFormatPr defaultRowHeight="14.45"/>
  <cols>
    <col min="1" max="1" width="30.7109375" customWidth="1"/>
    <col min="2" max="2" width="25" customWidth="1"/>
    <col min="3" max="3" width="25.7109375" customWidth="1"/>
    <col min="4" max="4" width="22.140625" customWidth="1"/>
    <col min="5" max="7" width="20.7109375" customWidth="1"/>
    <col min="8" max="8" width="22.140625" customWidth="1"/>
    <col min="9" max="10" width="18.7109375" customWidth="1"/>
    <col min="11" max="11" width="21.28515625" customWidth="1"/>
    <col min="12" max="12" width="15.85546875" customWidth="1"/>
  </cols>
  <sheetData>
    <row r="1" spans="1:34" s="2" customFormat="1">
      <c r="A1" s="1" t="s">
        <v>0</v>
      </c>
      <c r="B1" s="1" t="s">
        <v>89</v>
      </c>
      <c r="C1" s="1" t="s">
        <v>90</v>
      </c>
      <c r="D1" s="1" t="s">
        <v>60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L1" s="2" t="s">
        <v>8</v>
      </c>
    </row>
    <row r="2" spans="1:34" s="5" customFormat="1" ht="100.9" customHeight="1">
      <c r="A2" s="3" t="s">
        <v>9</v>
      </c>
      <c r="B2" s="18" t="s">
        <v>97</v>
      </c>
      <c r="C2" s="18" t="s">
        <v>98</v>
      </c>
      <c r="D2" s="18" t="s">
        <v>99</v>
      </c>
      <c r="E2" s="18" t="s">
        <v>12</v>
      </c>
      <c r="F2" s="18" t="s">
        <v>100</v>
      </c>
      <c r="G2" s="18" t="s">
        <v>101</v>
      </c>
      <c r="H2" s="18" t="s">
        <v>102</v>
      </c>
      <c r="I2" s="18" t="s">
        <v>97</v>
      </c>
      <c r="J2" s="18" t="s">
        <v>103</v>
      </c>
      <c r="K2" s="4"/>
    </row>
    <row r="3" spans="1:34" s="4" customFormat="1" ht="15" thickBot="1">
      <c r="A3" s="6" t="s">
        <v>17</v>
      </c>
      <c r="B3" s="57" t="s">
        <v>104</v>
      </c>
      <c r="C3" s="7" t="s">
        <v>105</v>
      </c>
      <c r="D3" s="7" t="s">
        <v>105</v>
      </c>
      <c r="E3" s="7" t="s">
        <v>106</v>
      </c>
      <c r="F3" s="7" t="s">
        <v>107</v>
      </c>
      <c r="G3" s="7" t="s">
        <v>108</v>
      </c>
      <c r="H3" s="7" t="s">
        <v>105</v>
      </c>
      <c r="I3" s="7" t="s">
        <v>105</v>
      </c>
      <c r="J3" s="7" t="s">
        <v>105</v>
      </c>
      <c r="L3" s="8"/>
    </row>
    <row r="4" spans="1:34">
      <c r="A4" s="9" t="s">
        <v>24</v>
      </c>
      <c r="B4" s="9">
        <v>257.77</v>
      </c>
      <c r="C4" s="10">
        <v>1160.6199999999999</v>
      </c>
      <c r="D4" s="10">
        <v>7692.44</v>
      </c>
      <c r="E4" s="10">
        <v>18277.560000000001</v>
      </c>
      <c r="F4" s="10">
        <v>13124.12</v>
      </c>
      <c r="G4" s="10">
        <v>627.22</v>
      </c>
      <c r="H4" s="10">
        <v>4386.66</v>
      </c>
      <c r="I4" s="10">
        <v>257.86</v>
      </c>
      <c r="J4" s="10">
        <v>200.9</v>
      </c>
      <c r="K4" s="11"/>
      <c r="L4" s="11">
        <f>SUM(B4:J4)</f>
        <v>45985.15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</row>
    <row r="5" spans="1:34">
      <c r="A5" s="12" t="s">
        <v>25</v>
      </c>
      <c r="B5" s="13">
        <v>0</v>
      </c>
      <c r="C5" s="13">
        <v>87</v>
      </c>
      <c r="D5" s="13">
        <v>310.5</v>
      </c>
      <c r="E5" s="13">
        <v>778.3</v>
      </c>
      <c r="F5" s="13">
        <v>656.18</v>
      </c>
      <c r="G5" s="13">
        <v>85</v>
      </c>
      <c r="H5" s="13">
        <v>100.5</v>
      </c>
      <c r="I5" s="13">
        <v>25</v>
      </c>
      <c r="J5" s="13">
        <v>20</v>
      </c>
      <c r="K5" s="11"/>
      <c r="L5" s="11">
        <f>SUM(B5:J5)</f>
        <v>2062.48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</row>
    <row r="6" spans="1:34">
      <c r="A6" s="12" t="s">
        <v>26</v>
      </c>
      <c r="B6" s="13">
        <v>15</v>
      </c>
      <c r="C6" s="13">
        <v>162.97</v>
      </c>
      <c r="D6" s="13">
        <v>1669.19</v>
      </c>
      <c r="E6" s="13">
        <v>2829.78</v>
      </c>
      <c r="F6" s="13">
        <v>2382.36</v>
      </c>
      <c r="G6" s="13">
        <v>82.99</v>
      </c>
      <c r="H6" s="13">
        <v>600.92999999999995</v>
      </c>
      <c r="I6" s="13">
        <v>35.99</v>
      </c>
      <c r="J6" s="13">
        <v>30.99</v>
      </c>
      <c r="K6" s="11"/>
      <c r="L6" s="11">
        <f>SUM(B6:J6)</f>
        <v>7810.2000000000007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spans="1:34">
      <c r="A7" s="12" t="s">
        <v>56</v>
      </c>
      <c r="B7" s="13">
        <f>B4-B5-B6</f>
        <v>242.76999999999998</v>
      </c>
      <c r="C7" s="13">
        <f>C4-C5-C6</f>
        <v>910.64999999999986</v>
      </c>
      <c r="D7" s="13">
        <f>D4-D5-D6</f>
        <v>5712.75</v>
      </c>
      <c r="E7" s="13">
        <f>E4-E5-E6</f>
        <v>14669.480000000001</v>
      </c>
      <c r="F7" s="13">
        <f>F4-F5-F6</f>
        <v>10085.58</v>
      </c>
      <c r="G7" s="13">
        <f>G4-G5-G6</f>
        <v>459.23</v>
      </c>
      <c r="H7" s="13">
        <f>H4-H5-H6</f>
        <v>3685.23</v>
      </c>
      <c r="I7" s="13">
        <f>I4-I5-I6</f>
        <v>196.87</v>
      </c>
      <c r="J7" s="13">
        <f>J4-J5-J6</f>
        <v>149.91</v>
      </c>
      <c r="K7" s="11"/>
      <c r="L7" s="11">
        <f>SUM(B7:J7)</f>
        <v>36112.470000000008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 spans="1:34" s="15" customFormat="1" ht="5.45" customHeight="1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34">
      <c r="A9" s="12" t="s">
        <v>28</v>
      </c>
      <c r="B9" s="23">
        <v>1</v>
      </c>
      <c r="C9" s="23">
        <v>15</v>
      </c>
      <c r="D9" s="19">
        <v>127</v>
      </c>
      <c r="E9" s="23">
        <v>173</v>
      </c>
      <c r="F9" s="23">
        <v>110</v>
      </c>
      <c r="G9" s="23">
        <v>12</v>
      </c>
      <c r="H9" s="23">
        <v>49</v>
      </c>
      <c r="I9" s="19">
        <v>2</v>
      </c>
      <c r="J9" s="19">
        <v>1</v>
      </c>
      <c r="L9" s="22">
        <f>SUM(B9:J9)</f>
        <v>490</v>
      </c>
    </row>
    <row r="10" spans="1:34">
      <c r="A10" s="12" t="s">
        <v>29</v>
      </c>
      <c r="B10" s="13">
        <f>B4/B9</f>
        <v>257.77</v>
      </c>
      <c r="C10" s="13">
        <f>C4/C9</f>
        <v>77.374666666666656</v>
      </c>
      <c r="D10" s="13">
        <f>D4/D9</f>
        <v>60.570393700787399</v>
      </c>
      <c r="E10" s="13">
        <f>E4/E9</f>
        <v>105.65063583815029</v>
      </c>
      <c r="F10" s="13">
        <f>F4/F9</f>
        <v>119.31018181818183</v>
      </c>
      <c r="G10" s="13">
        <f>G4/G9</f>
        <v>52.268333333333338</v>
      </c>
      <c r="H10" s="13">
        <f>H4/H9</f>
        <v>89.523673469387745</v>
      </c>
      <c r="I10" s="13">
        <f>I4/I9</f>
        <v>128.93</v>
      </c>
      <c r="J10" s="13">
        <f>J4/J9</f>
        <v>200.9</v>
      </c>
      <c r="K10" s="11"/>
      <c r="L10" s="11">
        <f>AVERAGE(B10:J10)</f>
        <v>121.36643164738969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>
      <c r="A11" s="12" t="s">
        <v>30</v>
      </c>
      <c r="B11" s="13">
        <f>(B4-B5)/B9</f>
        <v>257.77</v>
      </c>
      <c r="C11" s="13">
        <f>(C4-C5)/C9</f>
        <v>71.574666666666658</v>
      </c>
      <c r="D11" s="13">
        <f>(D4-D5)/D9</f>
        <v>58.125511811023621</v>
      </c>
      <c r="E11" s="13">
        <f>(E4-E5)/E9</f>
        <v>101.15179190751446</v>
      </c>
      <c r="F11" s="13">
        <f>(F4-F5)/F9</f>
        <v>113.3449090909091</v>
      </c>
      <c r="G11" s="13">
        <f>(G4-G5)/G9</f>
        <v>45.185000000000002</v>
      </c>
      <c r="H11" s="13">
        <f>(H4-H5)/H9</f>
        <v>87.472653061224491</v>
      </c>
      <c r="I11" s="13">
        <f>(I4-I5)/I9</f>
        <v>116.43</v>
      </c>
      <c r="J11" s="13">
        <f>(J4-J5)/J9</f>
        <v>180.9</v>
      </c>
      <c r="K11" s="11"/>
      <c r="L11" s="11">
        <f>AVERAGE(B11:J11)</f>
        <v>114.66161472637094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28.9">
      <c r="A12" s="16" t="s">
        <v>31</v>
      </c>
      <c r="B12" s="13">
        <f>(B4-B5-B6)/B9</f>
        <v>242.76999999999998</v>
      </c>
      <c r="C12" s="13">
        <f>(C4-C5-C6)/C9</f>
        <v>60.709999999999994</v>
      </c>
      <c r="D12" s="13">
        <f>(D4-D5-D6)/D9</f>
        <v>44.982283464566926</v>
      </c>
      <c r="E12" s="13">
        <f>(E4-E5-E6)/E9</f>
        <v>84.794682080924858</v>
      </c>
      <c r="F12" s="13">
        <f>(F4-F5-F6)/F9</f>
        <v>91.687090909090912</v>
      </c>
      <c r="G12" s="13">
        <f>(G4-G5-G6)/G9</f>
        <v>38.269166666666671</v>
      </c>
      <c r="H12" s="13">
        <f>(H4-H5-H6)/H9</f>
        <v>75.208775510204077</v>
      </c>
      <c r="I12" s="13">
        <f>(I4-I5-I6)/I9</f>
        <v>98.435000000000002</v>
      </c>
      <c r="J12" s="13">
        <f>(J4-J5-J6)/J9</f>
        <v>149.91</v>
      </c>
      <c r="K12" s="11"/>
      <c r="L12" s="11">
        <f>AVERAGE(B12:J12)</f>
        <v>98.529666514605935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s="15" customFormat="1" ht="5.4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spans="1:34" ht="28.9">
      <c r="A14" s="16" t="s">
        <v>32</v>
      </c>
      <c r="B14" s="13">
        <f>B10-B12</f>
        <v>15</v>
      </c>
      <c r="C14" s="13">
        <f>C10-C12</f>
        <v>16.664666666666662</v>
      </c>
      <c r="D14" s="13">
        <f>D10-D12</f>
        <v>15.588110236220473</v>
      </c>
      <c r="E14" s="13">
        <f>E10-E12</f>
        <v>20.855953757225436</v>
      </c>
      <c r="F14" s="13">
        <f>F10-F12</f>
        <v>27.623090909090919</v>
      </c>
      <c r="G14" s="13">
        <f>G10-G12</f>
        <v>13.999166666666667</v>
      </c>
      <c r="H14" s="13">
        <f>H10-H12</f>
        <v>14.314897959183668</v>
      </c>
      <c r="I14" s="13">
        <f>I10-I12</f>
        <v>30.495000000000005</v>
      </c>
      <c r="J14" s="13">
        <f>J10-J12</f>
        <v>50.990000000000009</v>
      </c>
      <c r="K14" s="11"/>
      <c r="L14" s="11">
        <f>SUM(B14:J14)</f>
        <v>205.53088619505382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28.9">
      <c r="A15" s="16" t="s">
        <v>33</v>
      </c>
      <c r="B15" s="13">
        <f>B11-B12</f>
        <v>15</v>
      </c>
      <c r="C15" s="13">
        <f>C11-C12</f>
        <v>10.864666666666665</v>
      </c>
      <c r="D15" s="13">
        <f>D11-D12</f>
        <v>13.143228346456695</v>
      </c>
      <c r="E15" s="13">
        <f>E11-E12</f>
        <v>16.357109826589607</v>
      </c>
      <c r="F15" s="13">
        <f>F11-F12</f>
        <v>21.657818181818186</v>
      </c>
      <c r="G15" s="13">
        <f>G11-G12</f>
        <v>6.9158333333333317</v>
      </c>
      <c r="H15" s="13">
        <f>H11-H12</f>
        <v>12.263877551020414</v>
      </c>
      <c r="I15" s="13">
        <f>I11-I12</f>
        <v>17.995000000000005</v>
      </c>
      <c r="J15" s="13">
        <f>J11-J12</f>
        <v>30.990000000000009</v>
      </c>
      <c r="K15" s="11"/>
      <c r="L15" s="11">
        <f>SUM(B15:J15)</f>
        <v>145.18753390588492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7" spans="1:20">
      <c r="A17" s="25" t="s">
        <v>34</v>
      </c>
      <c r="B17" s="25" t="s">
        <v>89</v>
      </c>
      <c r="C17" s="25" t="s">
        <v>90</v>
      </c>
      <c r="D17" s="25" t="s">
        <v>60</v>
      </c>
      <c r="E17" s="25" t="s">
        <v>91</v>
      </c>
      <c r="F17" s="25" t="s">
        <v>92</v>
      </c>
      <c r="G17" s="25" t="s">
        <v>93</v>
      </c>
      <c r="H17" s="25" t="s">
        <v>109</v>
      </c>
      <c r="I17" s="25" t="s">
        <v>95</v>
      </c>
      <c r="J17" s="25" t="s">
        <v>96</v>
      </c>
      <c r="L17" s="2"/>
    </row>
    <row r="18" spans="1:20" ht="72">
      <c r="A18" s="26" t="s">
        <v>9</v>
      </c>
      <c r="B18" s="27" t="s">
        <v>97</v>
      </c>
      <c r="C18" s="27" t="s">
        <v>98</v>
      </c>
      <c r="D18" s="27" t="s">
        <v>99</v>
      </c>
      <c r="E18" s="27" t="s">
        <v>12</v>
      </c>
      <c r="F18" s="27" t="s">
        <v>100</v>
      </c>
      <c r="G18" s="27" t="s">
        <v>101</v>
      </c>
      <c r="H18" s="27" t="s">
        <v>110</v>
      </c>
      <c r="I18" s="27" t="s">
        <v>97</v>
      </c>
      <c r="J18" s="27" t="s">
        <v>103</v>
      </c>
      <c r="L18" s="5"/>
      <c r="T18" s="21"/>
    </row>
    <row r="19" spans="1:20" ht="15" thickBot="1">
      <c r="A19" s="28" t="s">
        <v>17</v>
      </c>
      <c r="B19" s="63" t="s">
        <v>104</v>
      </c>
      <c r="C19" s="29" t="s">
        <v>105</v>
      </c>
      <c r="D19" s="29" t="s">
        <v>105</v>
      </c>
      <c r="E19" s="29" t="s">
        <v>106</v>
      </c>
      <c r="F19" s="29" t="s">
        <v>107</v>
      </c>
      <c r="G19" s="29" t="s">
        <v>108</v>
      </c>
      <c r="H19" s="29" t="s">
        <v>111</v>
      </c>
      <c r="I19" s="29" t="s">
        <v>105</v>
      </c>
      <c r="J19" s="29" t="s">
        <v>105</v>
      </c>
      <c r="L19" s="8"/>
    </row>
    <row r="20" spans="1:20" s="17" customFormat="1">
      <c r="A20" s="30" t="s">
        <v>38</v>
      </c>
      <c r="B20" s="31">
        <v>5125.62</v>
      </c>
      <c r="C20" s="31">
        <v>631.99</v>
      </c>
      <c r="D20" s="31">
        <v>10210.51</v>
      </c>
      <c r="E20" s="31">
        <v>125819.3</v>
      </c>
      <c r="F20" s="31">
        <v>52934.53</v>
      </c>
      <c r="G20" s="31">
        <v>7168.2</v>
      </c>
      <c r="H20" s="31">
        <v>33710.85</v>
      </c>
      <c r="I20" s="31">
        <v>135.94999999999999</v>
      </c>
      <c r="J20" s="31">
        <v>139.94999999999999</v>
      </c>
      <c r="L20" s="17">
        <f>SUM(B20:J20)</f>
        <v>235876.90000000005</v>
      </c>
    </row>
    <row r="21" spans="1:20" s="20" customFormat="1">
      <c r="A21" s="32" t="s">
        <v>39</v>
      </c>
      <c r="B21" s="33">
        <v>0.19420000000000001</v>
      </c>
      <c r="C21" s="33">
        <v>0.12659999999999999</v>
      </c>
      <c r="D21" s="33">
        <v>0.1148</v>
      </c>
      <c r="E21" s="33">
        <v>0.13919999999999999</v>
      </c>
      <c r="F21" s="33">
        <v>0.14599999999999999</v>
      </c>
      <c r="G21" s="33">
        <v>0.2001</v>
      </c>
      <c r="H21" s="33">
        <v>0.31690000000000002</v>
      </c>
      <c r="I21" s="33" t="s">
        <v>57</v>
      </c>
      <c r="J21" s="33" t="s">
        <v>57</v>
      </c>
      <c r="L21" s="20">
        <f>AVERAGE(B21:J21)</f>
        <v>0.17682857142857142</v>
      </c>
    </row>
    <row r="22" spans="1:20">
      <c r="A22" s="34" t="s">
        <v>40</v>
      </c>
      <c r="B22" s="35">
        <v>43</v>
      </c>
      <c r="C22" s="35">
        <v>11</v>
      </c>
      <c r="D22" s="35">
        <v>215</v>
      </c>
      <c r="E22" s="35">
        <v>1940</v>
      </c>
      <c r="F22" s="35">
        <v>594</v>
      </c>
      <c r="G22" s="35">
        <v>161</v>
      </c>
      <c r="H22" s="35">
        <v>347</v>
      </c>
      <c r="I22" s="35">
        <v>2</v>
      </c>
      <c r="J22" s="35">
        <v>3</v>
      </c>
      <c r="L22" s="50">
        <f>SUM(B22:J22)</f>
        <v>3316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632D-F3CF-40C6-BAB6-D165EEB3DE70}">
  <dimension ref="A1:AG22"/>
  <sheetViews>
    <sheetView topLeftCell="A3" zoomScale="84" zoomScaleNormal="84" workbookViewId="0">
      <selection activeCell="A17" sqref="A17:I22"/>
    </sheetView>
  </sheetViews>
  <sheetFormatPr defaultRowHeight="14.45"/>
  <cols>
    <col min="1" max="1" width="30.7109375" customWidth="1"/>
    <col min="2" max="3" width="20.7109375" customWidth="1"/>
    <col min="4" max="4" width="25.7109375" customWidth="1"/>
    <col min="5" max="5" width="20.7109375" customWidth="1"/>
    <col min="6" max="7" width="22.140625" customWidth="1"/>
    <col min="8" max="9" width="18.7109375" customWidth="1"/>
    <col min="10" max="10" width="21.28515625" customWidth="1"/>
    <col min="11" max="11" width="15.85546875" customWidth="1"/>
  </cols>
  <sheetData>
    <row r="1" spans="1:33" s="2" customFormat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56"/>
      <c r="H1" s="1" t="s">
        <v>95</v>
      </c>
      <c r="I1" s="1" t="s">
        <v>96</v>
      </c>
      <c r="K1" s="2" t="s">
        <v>8</v>
      </c>
    </row>
    <row r="2" spans="1:33" s="5" customFormat="1" ht="100.9" customHeight="1">
      <c r="A2" s="3" t="s">
        <v>9</v>
      </c>
      <c r="B2" s="18" t="s">
        <v>12</v>
      </c>
      <c r="C2" s="18" t="s">
        <v>117</v>
      </c>
      <c r="D2" s="18" t="s">
        <v>118</v>
      </c>
      <c r="E2" s="18" t="s">
        <v>119</v>
      </c>
      <c r="F2" s="18" t="s">
        <v>120</v>
      </c>
      <c r="G2" s="55"/>
      <c r="H2" s="18" t="s">
        <v>97</v>
      </c>
      <c r="I2" s="18" t="s">
        <v>103</v>
      </c>
      <c r="J2" s="4"/>
    </row>
    <row r="3" spans="1:33" s="4" customFormat="1" ht="15" thickBot="1">
      <c r="A3" s="6" t="s">
        <v>17</v>
      </c>
      <c r="B3" s="7" t="s">
        <v>121</v>
      </c>
      <c r="C3" s="7" t="s">
        <v>122</v>
      </c>
      <c r="D3" s="7" t="s">
        <v>122</v>
      </c>
      <c r="E3" s="7" t="s">
        <v>122</v>
      </c>
      <c r="F3" s="7" t="s">
        <v>122</v>
      </c>
      <c r="G3" s="54"/>
      <c r="H3" s="7" t="s">
        <v>122</v>
      </c>
      <c r="I3" s="7" t="s">
        <v>122</v>
      </c>
      <c r="K3" s="8"/>
    </row>
    <row r="4" spans="1:33">
      <c r="A4" s="9" t="s">
        <v>24</v>
      </c>
      <c r="B4" s="10">
        <v>12821.8</v>
      </c>
      <c r="C4" s="10">
        <v>248.9</v>
      </c>
      <c r="D4" s="10">
        <v>1016.6</v>
      </c>
      <c r="E4" s="10">
        <v>870.05</v>
      </c>
      <c r="F4" s="10">
        <v>2832.3</v>
      </c>
      <c r="G4" s="60"/>
      <c r="H4" s="10">
        <v>189.83</v>
      </c>
      <c r="I4" s="10">
        <v>481.71</v>
      </c>
      <c r="J4" s="11"/>
      <c r="K4" s="11">
        <f>SUM(B4:I4)</f>
        <v>18461.189999999999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2" t="s">
        <v>25</v>
      </c>
      <c r="B5" s="13">
        <v>500.2</v>
      </c>
      <c r="C5" s="13">
        <v>21</v>
      </c>
      <c r="D5" s="13">
        <v>95.5</v>
      </c>
      <c r="E5" s="13">
        <v>17</v>
      </c>
      <c r="F5" s="13">
        <v>177.7</v>
      </c>
      <c r="G5" s="58"/>
      <c r="H5" s="13">
        <v>0</v>
      </c>
      <c r="I5" s="13">
        <v>14</v>
      </c>
      <c r="J5" s="11"/>
      <c r="K5" s="11">
        <f>SUM(B5:I5)</f>
        <v>825.40000000000009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spans="1:33">
      <c r="A6" s="12" t="s">
        <v>26</v>
      </c>
      <c r="B6" s="13">
        <v>2003.33</v>
      </c>
      <c r="C6" s="13">
        <v>56</v>
      </c>
      <c r="D6" s="13">
        <v>268.87</v>
      </c>
      <c r="E6" s="13">
        <v>134.03</v>
      </c>
      <c r="F6" s="13">
        <v>454.01</v>
      </c>
      <c r="G6" s="58"/>
      <c r="H6" s="13">
        <v>20</v>
      </c>
      <c r="I6" s="13">
        <v>31</v>
      </c>
      <c r="J6" s="11"/>
      <c r="K6" s="11">
        <f>SUM(B6:I6)</f>
        <v>2967.24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pans="1:33">
      <c r="A7" s="12" t="s">
        <v>56</v>
      </c>
      <c r="B7" s="13">
        <f>B4-B5-B6</f>
        <v>10318.269999999999</v>
      </c>
      <c r="C7" s="13">
        <f>C4-C5-C6</f>
        <v>171.9</v>
      </c>
      <c r="D7" s="13">
        <f>D4-D5-D6</f>
        <v>652.23</v>
      </c>
      <c r="E7" s="13">
        <f>E4-E5-E6</f>
        <v>719.02</v>
      </c>
      <c r="F7" s="13">
        <f>F4-F5-F6</f>
        <v>2200.59</v>
      </c>
      <c r="G7" s="58"/>
      <c r="H7" s="13">
        <f>H4-H5-H6</f>
        <v>169.83</v>
      </c>
      <c r="I7" s="13">
        <f>I4-I5-I6</f>
        <v>436.71</v>
      </c>
      <c r="J7" s="11"/>
      <c r="K7" s="11">
        <f>SUM(B7:I7)</f>
        <v>14668.549999999997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1:33" s="15" customFormat="1" ht="5.45" customHeight="1">
      <c r="A8" s="14"/>
      <c r="B8" s="14"/>
      <c r="C8" s="14"/>
      <c r="D8" s="14"/>
      <c r="E8" s="14"/>
      <c r="F8" s="14"/>
      <c r="G8" s="14"/>
      <c r="H8" s="14"/>
      <c r="I8" s="14"/>
    </row>
    <row r="9" spans="1:33">
      <c r="A9" s="12" t="s">
        <v>28</v>
      </c>
      <c r="B9" s="23">
        <v>137</v>
      </c>
      <c r="C9" s="23">
        <v>4</v>
      </c>
      <c r="D9" s="23">
        <v>23</v>
      </c>
      <c r="E9" s="23">
        <v>8</v>
      </c>
      <c r="F9" s="19">
        <v>20</v>
      </c>
      <c r="G9" s="59"/>
      <c r="H9" s="19">
        <v>2</v>
      </c>
      <c r="I9" s="19">
        <v>3</v>
      </c>
      <c r="K9" s="22">
        <f>SUM(B9:I9)</f>
        <v>197</v>
      </c>
    </row>
    <row r="10" spans="1:33">
      <c r="A10" s="12" t="s">
        <v>29</v>
      </c>
      <c r="B10" s="13">
        <f>B4/B9</f>
        <v>93.589781021897807</v>
      </c>
      <c r="C10" s="13">
        <f>C4/C9</f>
        <v>62.225000000000001</v>
      </c>
      <c r="D10" s="13">
        <f>D4/D9</f>
        <v>44.2</v>
      </c>
      <c r="E10" s="13">
        <f>E4/E9</f>
        <v>108.75624999999999</v>
      </c>
      <c r="F10" s="13">
        <f>F4/F9</f>
        <v>141.61500000000001</v>
      </c>
      <c r="G10" s="58"/>
      <c r="H10" s="13">
        <f>H4/H9</f>
        <v>94.915000000000006</v>
      </c>
      <c r="I10" s="13">
        <f>I4/I9</f>
        <v>160.57</v>
      </c>
      <c r="J10" s="11"/>
      <c r="K10" s="11">
        <f>AVERAGE(B10:I10)</f>
        <v>100.83871871741397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spans="1:33">
      <c r="A11" s="12" t="s">
        <v>30</v>
      </c>
      <c r="B11" s="13">
        <f>(B4-B5)/B9</f>
        <v>89.938686131386845</v>
      </c>
      <c r="C11" s="13">
        <f>(C4-C5)/C9</f>
        <v>56.975000000000001</v>
      </c>
      <c r="D11" s="13">
        <f>(D4-D5)/D9</f>
        <v>40.047826086956526</v>
      </c>
      <c r="E11" s="13">
        <f>(E4-E5)/E9</f>
        <v>106.63124999999999</v>
      </c>
      <c r="F11" s="13">
        <f>(F4-F5)/F9</f>
        <v>132.73000000000002</v>
      </c>
      <c r="G11" s="58"/>
      <c r="H11" s="13">
        <f>(H4-H5)/H9</f>
        <v>94.915000000000006</v>
      </c>
      <c r="I11" s="13">
        <f>(I4-I5)/I9</f>
        <v>155.90333333333334</v>
      </c>
      <c r="J11" s="11"/>
      <c r="K11" s="11">
        <f>AVERAGE(B11:I11)</f>
        <v>96.734442221668104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1:33" ht="28.9">
      <c r="A12" s="16" t="s">
        <v>31</v>
      </c>
      <c r="B12" s="13">
        <f>(B4-B5-B6)/B9</f>
        <v>75.315839416058381</v>
      </c>
      <c r="C12" s="13">
        <f>(C4-C5-C6)/C9</f>
        <v>42.975000000000001</v>
      </c>
      <c r="D12" s="13">
        <f>(D4-D5-D6)/D9</f>
        <v>28.357826086956521</v>
      </c>
      <c r="E12" s="13">
        <f>(E4-E5-E6)/E9</f>
        <v>89.877499999999998</v>
      </c>
      <c r="F12" s="13">
        <f>(F4-F5-F6)/F9</f>
        <v>110.02950000000001</v>
      </c>
      <c r="G12" s="58"/>
      <c r="H12" s="13">
        <f>(H4-H5-H6)/H9</f>
        <v>84.915000000000006</v>
      </c>
      <c r="I12" s="13">
        <f>(I4-I5-I6)/I9</f>
        <v>145.57</v>
      </c>
      <c r="J12" s="11"/>
      <c r="K12" s="11">
        <f>AVERAGE(B12:I12)</f>
        <v>82.434380786144985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1:33" s="15" customFormat="1" ht="5.45" customHeight="1">
      <c r="A13" s="14"/>
      <c r="B13" s="14"/>
      <c r="C13" s="14"/>
      <c r="D13" s="14"/>
      <c r="E13" s="14"/>
      <c r="F13" s="14"/>
      <c r="G13" s="14"/>
      <c r="H13" s="14"/>
      <c r="I13" s="14"/>
    </row>
    <row r="14" spans="1:33" ht="28.9">
      <c r="A14" s="16" t="s">
        <v>32</v>
      </c>
      <c r="B14" s="13">
        <f>B10-B12</f>
        <v>18.273941605839426</v>
      </c>
      <c r="C14" s="13">
        <f>C10-C12</f>
        <v>19.25</v>
      </c>
      <c r="D14" s="13">
        <f>D10-D12</f>
        <v>15.842173913043482</v>
      </c>
      <c r="E14" s="13">
        <f>E10-E12</f>
        <v>18.878749999999997</v>
      </c>
      <c r="F14" s="13">
        <f>F10-F12</f>
        <v>31.585499999999996</v>
      </c>
      <c r="G14" s="58"/>
      <c r="H14" s="13">
        <f>H10-H12</f>
        <v>10</v>
      </c>
      <c r="I14" s="13">
        <f>I10-I12</f>
        <v>15</v>
      </c>
      <c r="J14" s="11"/>
      <c r="K14" s="11">
        <f>SUM(B14:I14)</f>
        <v>128.8303655188829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spans="1:33" ht="28.9">
      <c r="A15" s="16" t="s">
        <v>33</v>
      </c>
      <c r="B15" s="13">
        <f>B11-B12</f>
        <v>14.622846715328464</v>
      </c>
      <c r="C15" s="13">
        <f>C11-C12</f>
        <v>14</v>
      </c>
      <c r="D15" s="13">
        <f>D11-D12</f>
        <v>11.690000000000005</v>
      </c>
      <c r="E15" s="13">
        <f>E11-E12</f>
        <v>16.753749999999997</v>
      </c>
      <c r="F15" s="13">
        <f>F11-F12</f>
        <v>22.700500000000005</v>
      </c>
      <c r="G15" s="58"/>
      <c r="H15" s="13">
        <f>H11-H12</f>
        <v>10</v>
      </c>
      <c r="I15" s="13">
        <f>I11-I12</f>
        <v>10.333333333333343</v>
      </c>
      <c r="J15" s="11"/>
      <c r="K15" s="11">
        <f>SUM(B15:I15)</f>
        <v>100.10043004866182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7" spans="1:19">
      <c r="A17" s="25" t="s">
        <v>34</v>
      </c>
      <c r="B17" s="25" t="s">
        <v>112</v>
      </c>
      <c r="C17" s="25" t="s">
        <v>113</v>
      </c>
      <c r="D17" s="25" t="s">
        <v>114</v>
      </c>
      <c r="E17" s="25" t="s">
        <v>115</v>
      </c>
      <c r="F17" s="25" t="s">
        <v>116</v>
      </c>
      <c r="G17" s="25" t="s">
        <v>109</v>
      </c>
      <c r="H17" s="25" t="s">
        <v>95</v>
      </c>
      <c r="I17" s="25" t="s">
        <v>96</v>
      </c>
      <c r="K17" s="2"/>
    </row>
    <row r="18" spans="1:19" ht="86.45">
      <c r="A18" s="26" t="s">
        <v>9</v>
      </c>
      <c r="B18" s="27" t="s">
        <v>12</v>
      </c>
      <c r="C18" s="27" t="s">
        <v>117</v>
      </c>
      <c r="D18" s="27" t="s">
        <v>118</v>
      </c>
      <c r="E18" s="27" t="s">
        <v>119</v>
      </c>
      <c r="F18" s="27" t="s">
        <v>120</v>
      </c>
      <c r="G18" s="27" t="s">
        <v>110</v>
      </c>
      <c r="H18" s="27" t="s">
        <v>97</v>
      </c>
      <c r="I18" s="27" t="s">
        <v>103</v>
      </c>
      <c r="K18" s="5"/>
      <c r="S18" s="21"/>
    </row>
    <row r="19" spans="1:19" ht="15" thickBot="1">
      <c r="A19" s="28" t="s">
        <v>17</v>
      </c>
      <c r="B19" s="29" t="s">
        <v>121</v>
      </c>
      <c r="C19" s="29" t="s">
        <v>122</v>
      </c>
      <c r="D19" s="29" t="s">
        <v>122</v>
      </c>
      <c r="E19" s="29" t="s">
        <v>122</v>
      </c>
      <c r="F19" s="29" t="s">
        <v>122</v>
      </c>
      <c r="G19" s="29" t="s">
        <v>111</v>
      </c>
      <c r="H19" s="29" t="s">
        <v>122</v>
      </c>
      <c r="I19" s="29" t="s">
        <v>122</v>
      </c>
      <c r="K19" s="8"/>
    </row>
    <row r="20" spans="1:19" s="17" customFormat="1">
      <c r="A20" s="30" t="s">
        <v>123</v>
      </c>
      <c r="B20" s="31">
        <v>95513.11</v>
      </c>
      <c r="C20" s="31">
        <v>1704.73</v>
      </c>
      <c r="D20" s="31">
        <v>1663.56</v>
      </c>
      <c r="E20" s="31">
        <v>2109.85</v>
      </c>
      <c r="F20" s="31">
        <v>1285.99</v>
      </c>
      <c r="G20" s="31">
        <v>23084.45</v>
      </c>
      <c r="H20" s="31">
        <v>2350.2199999999998</v>
      </c>
      <c r="I20" s="31">
        <v>3009.58</v>
      </c>
      <c r="K20" s="17">
        <f>SUM(B20:I20)</f>
        <v>130721.49</v>
      </c>
    </row>
    <row r="21" spans="1:19" s="20" customFormat="1">
      <c r="A21" s="32" t="s">
        <v>39</v>
      </c>
      <c r="B21" s="33">
        <v>0.14560000000000001</v>
      </c>
      <c r="C21" s="33">
        <v>0.14940000000000001</v>
      </c>
      <c r="D21" s="33">
        <v>6.4999999999999997E-3</v>
      </c>
      <c r="E21" s="33">
        <v>0.24260000000000001</v>
      </c>
      <c r="F21" s="33">
        <v>0.21490000000000001</v>
      </c>
      <c r="G21" s="33">
        <v>0.31690000000000002</v>
      </c>
      <c r="H21" s="33" t="s">
        <v>57</v>
      </c>
      <c r="I21" s="33" t="s">
        <v>57</v>
      </c>
      <c r="K21" s="20">
        <f>AVERAGE(B21:I21)</f>
        <v>0.17931666666666668</v>
      </c>
    </row>
    <row r="22" spans="1:19">
      <c r="A22" s="34" t="s">
        <v>40</v>
      </c>
      <c r="B22" s="35">
        <v>1401</v>
      </c>
      <c r="C22" s="35">
        <v>25</v>
      </c>
      <c r="D22" s="35">
        <v>44</v>
      </c>
      <c r="E22" s="35">
        <v>39</v>
      </c>
      <c r="F22" s="35">
        <v>17</v>
      </c>
      <c r="G22" s="35">
        <v>242</v>
      </c>
      <c r="H22" s="35">
        <v>30</v>
      </c>
      <c r="I22" s="35">
        <v>39</v>
      </c>
      <c r="K22" s="50">
        <f>SUM(B22:I22)</f>
        <v>1837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0DF1-2C19-4764-9423-E672AFF6AD9D}">
  <dimension ref="A1:AG22"/>
  <sheetViews>
    <sheetView topLeftCell="A4" zoomScale="84" zoomScaleNormal="84" workbookViewId="0">
      <selection activeCell="A17" sqref="A17:I22"/>
    </sheetView>
  </sheetViews>
  <sheetFormatPr defaultRowHeight="14.45"/>
  <cols>
    <col min="1" max="1" width="30.7109375" customWidth="1"/>
    <col min="2" max="3" width="20.7109375" customWidth="1"/>
    <col min="4" max="4" width="25.7109375" customWidth="1"/>
    <col min="5" max="5" width="20.7109375" customWidth="1"/>
    <col min="6" max="6" width="22.140625" customWidth="1"/>
    <col min="7" max="9" width="18.7109375" customWidth="1"/>
    <col min="10" max="10" width="21.28515625" customWidth="1"/>
    <col min="11" max="11" width="15.85546875" customWidth="1"/>
  </cols>
  <sheetData>
    <row r="1" spans="1:33" s="2" customFormat="1">
      <c r="A1" s="1" t="s">
        <v>0</v>
      </c>
      <c r="B1" s="1" t="s">
        <v>124</v>
      </c>
      <c r="C1" s="1" t="s">
        <v>125</v>
      </c>
      <c r="D1" s="1" t="s">
        <v>92</v>
      </c>
      <c r="E1" s="1" t="s">
        <v>126</v>
      </c>
      <c r="F1" s="1" t="s">
        <v>127</v>
      </c>
      <c r="G1" s="1" t="s">
        <v>112</v>
      </c>
      <c r="H1" s="1" t="s">
        <v>95</v>
      </c>
      <c r="I1" s="1" t="s">
        <v>96</v>
      </c>
      <c r="K1" s="2" t="s">
        <v>8</v>
      </c>
    </row>
    <row r="2" spans="1:33" s="5" customFormat="1" ht="100.9" customHeight="1">
      <c r="A2" s="3" t="s">
        <v>9</v>
      </c>
      <c r="B2" s="18" t="s">
        <v>128</v>
      </c>
      <c r="C2" s="18" t="s">
        <v>12</v>
      </c>
      <c r="D2" s="18" t="s">
        <v>129</v>
      </c>
      <c r="E2" s="18" t="s">
        <v>130</v>
      </c>
      <c r="F2" s="18" t="s">
        <v>131</v>
      </c>
      <c r="G2" s="18" t="s">
        <v>12</v>
      </c>
      <c r="H2" s="18" t="s">
        <v>97</v>
      </c>
      <c r="I2" s="18" t="s">
        <v>103</v>
      </c>
      <c r="J2" s="4"/>
    </row>
    <row r="3" spans="1:33" s="4" customFormat="1" ht="15" thickBot="1">
      <c r="A3" s="6" t="s">
        <v>17</v>
      </c>
      <c r="B3" s="7" t="s">
        <v>132</v>
      </c>
      <c r="C3" s="7" t="s">
        <v>133</v>
      </c>
      <c r="D3" s="7" t="s">
        <v>134</v>
      </c>
      <c r="E3" s="7" t="s">
        <v>135</v>
      </c>
      <c r="F3" s="7" t="s">
        <v>136</v>
      </c>
      <c r="G3" s="7" t="s">
        <v>121</v>
      </c>
      <c r="H3" s="7" t="s">
        <v>132</v>
      </c>
      <c r="I3" s="7" t="s">
        <v>132</v>
      </c>
      <c r="K3" s="8"/>
    </row>
    <row r="4" spans="1:33">
      <c r="A4" s="9" t="s">
        <v>24</v>
      </c>
      <c r="B4" s="10">
        <v>3095.68</v>
      </c>
      <c r="C4" s="10">
        <v>11079.52</v>
      </c>
      <c r="D4" s="10">
        <v>27266.79</v>
      </c>
      <c r="E4" s="10">
        <v>251.85</v>
      </c>
      <c r="F4" s="10">
        <v>13630.91</v>
      </c>
      <c r="G4" s="10">
        <v>3591.21</v>
      </c>
      <c r="H4" s="10">
        <v>842.1</v>
      </c>
      <c r="I4" s="10">
        <v>905.14</v>
      </c>
      <c r="J4" s="11"/>
      <c r="K4" s="11">
        <f>SUM(B4:I4)</f>
        <v>60663.199999999997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2" t="s">
        <v>25</v>
      </c>
      <c r="B5" s="13">
        <v>137</v>
      </c>
      <c r="C5" s="13">
        <v>536.5</v>
      </c>
      <c r="D5" s="13">
        <v>1399.3</v>
      </c>
      <c r="E5" s="13">
        <v>32.5</v>
      </c>
      <c r="F5" s="13">
        <v>1100.5</v>
      </c>
      <c r="G5" s="13">
        <v>157.19999999999999</v>
      </c>
      <c r="H5" s="13">
        <v>30.6</v>
      </c>
      <c r="I5" s="13">
        <v>16.399999999999999</v>
      </c>
      <c r="J5" s="11"/>
      <c r="K5" s="11">
        <f>SUM(B5:I5)</f>
        <v>3410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spans="1:33">
      <c r="A6" s="12" t="s">
        <v>26</v>
      </c>
      <c r="B6" s="13">
        <v>430.16</v>
      </c>
      <c r="C6" s="13">
        <v>1553.01</v>
      </c>
      <c r="D6" s="13">
        <v>4565.93</v>
      </c>
      <c r="E6" s="13">
        <v>16.8</v>
      </c>
      <c r="F6" s="13">
        <v>1478.91</v>
      </c>
      <c r="G6" s="13">
        <v>638.94000000000005</v>
      </c>
      <c r="H6" s="13">
        <v>89</v>
      </c>
      <c r="I6" s="13">
        <v>85</v>
      </c>
      <c r="J6" s="11"/>
      <c r="K6" s="11">
        <f>SUM(B6:I6)</f>
        <v>8857.75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pans="1:33">
      <c r="A7" s="12" t="s">
        <v>56</v>
      </c>
      <c r="B7" s="13">
        <f>B4-B5-B6</f>
        <v>2528.52</v>
      </c>
      <c r="C7" s="13"/>
      <c r="D7" s="13"/>
      <c r="E7" s="13"/>
      <c r="F7" s="13">
        <f>F4-F5-F6</f>
        <v>11051.5</v>
      </c>
      <c r="G7" s="13">
        <f>G4-G5-G6</f>
        <v>2795.07</v>
      </c>
      <c r="H7" s="13">
        <f>H4-H5-H6</f>
        <v>722.5</v>
      </c>
      <c r="I7" s="13">
        <f>I4-I5-I6</f>
        <v>803.74</v>
      </c>
      <c r="J7" s="11"/>
      <c r="K7" s="11">
        <f>SUM(B7:I7)</f>
        <v>17901.330000000002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1:33" s="15" customFormat="1" ht="5.45" customHeight="1">
      <c r="A8" s="14"/>
      <c r="B8" s="14"/>
      <c r="C8" s="14"/>
      <c r="D8" s="14"/>
      <c r="E8" s="14"/>
      <c r="F8" s="14"/>
      <c r="G8" s="14"/>
      <c r="H8" s="14"/>
      <c r="I8" s="14"/>
    </row>
    <row r="9" spans="1:33">
      <c r="A9" s="12" t="s">
        <v>28</v>
      </c>
      <c r="B9" s="23">
        <v>32</v>
      </c>
      <c r="C9" s="23">
        <v>117</v>
      </c>
      <c r="D9" s="23">
        <v>226</v>
      </c>
      <c r="E9" s="23">
        <v>6</v>
      </c>
      <c r="F9" s="19">
        <v>110</v>
      </c>
      <c r="G9" s="19">
        <v>38</v>
      </c>
      <c r="H9" s="19">
        <v>9</v>
      </c>
      <c r="I9" s="19">
        <v>9</v>
      </c>
      <c r="K9" s="22">
        <f>SUM(B9:I9)</f>
        <v>547</v>
      </c>
    </row>
    <row r="10" spans="1:33">
      <c r="A10" s="12" t="s">
        <v>29</v>
      </c>
      <c r="B10" s="13">
        <f>B4/B9</f>
        <v>96.74</v>
      </c>
      <c r="C10" s="13">
        <f>C4/C9</f>
        <v>94.696752136752139</v>
      </c>
      <c r="D10" s="13">
        <f>D4/D9</f>
        <v>120.64951327433629</v>
      </c>
      <c r="E10" s="13">
        <f>E4/E9</f>
        <v>41.975000000000001</v>
      </c>
      <c r="F10" s="13">
        <f>F4/F9</f>
        <v>123.91736363636363</v>
      </c>
      <c r="G10" s="13">
        <f>G4/G9</f>
        <v>94.505526315789481</v>
      </c>
      <c r="H10" s="13">
        <f>H4/H9</f>
        <v>93.566666666666663</v>
      </c>
      <c r="I10" s="13">
        <f>I4/I9</f>
        <v>100.57111111111111</v>
      </c>
      <c r="J10" s="11"/>
      <c r="K10" s="11">
        <f>AVERAGE(B10:I10)</f>
        <v>95.827741642627416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spans="1:33">
      <c r="A11" s="12" t="s">
        <v>30</v>
      </c>
      <c r="B11" s="13">
        <f>(B4-B5)/B9</f>
        <v>92.458749999999995</v>
      </c>
      <c r="C11" s="13">
        <f>(C4-C5)/C9</f>
        <v>90.11128205128206</v>
      </c>
      <c r="D11" s="13">
        <f>(D4-D5)/D9</f>
        <v>114.4579203539823</v>
      </c>
      <c r="E11" s="13">
        <f>(E4-E5)/E9</f>
        <v>36.55833333333333</v>
      </c>
      <c r="F11" s="13">
        <f>(F4-F5)/F9</f>
        <v>113.91281818181818</v>
      </c>
      <c r="G11" s="13">
        <f>(G4-G5)/G9</f>
        <v>90.368684210526325</v>
      </c>
      <c r="H11" s="13">
        <f>(H4-H5)/H9</f>
        <v>90.166666666666671</v>
      </c>
      <c r="I11" s="13">
        <f>(I4-I5)/I9</f>
        <v>98.748888888888885</v>
      </c>
      <c r="J11" s="11"/>
      <c r="K11" s="11">
        <f>AVERAGE(B11:I11)</f>
        <v>90.847917960812225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1:33" ht="28.9">
      <c r="A12" s="16" t="s">
        <v>31</v>
      </c>
      <c r="B12" s="13">
        <f>(B4-B5-B6)/B9</f>
        <v>79.016249999999999</v>
      </c>
      <c r="C12" s="13">
        <f>(C4-C5-C6)/C9</f>
        <v>76.837692307692308</v>
      </c>
      <c r="D12" s="13">
        <f>(D4-D5-D6)/D9</f>
        <v>94.25469026548673</v>
      </c>
      <c r="E12" s="13">
        <f>(E4-E5-E6)/E9</f>
        <v>33.758333333333333</v>
      </c>
      <c r="F12" s="13">
        <f>(F4-F5-F6)/F9</f>
        <v>100.46818181818182</v>
      </c>
      <c r="G12" s="13">
        <f>(G4-G5-G6)/G9</f>
        <v>73.554473684210535</v>
      </c>
      <c r="H12" s="13">
        <f>(H4-H5-H6)/H9</f>
        <v>80.277777777777771</v>
      </c>
      <c r="I12" s="13">
        <f>(I4-I5-I6)/I9</f>
        <v>89.304444444444442</v>
      </c>
      <c r="J12" s="11"/>
      <c r="K12" s="11">
        <f>AVERAGE(B12:I12)</f>
        <v>78.433980453890854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1:33" s="15" customFormat="1" ht="5.45" customHeight="1">
      <c r="A13" s="14"/>
      <c r="B13" s="14"/>
      <c r="C13" s="14"/>
      <c r="D13" s="14"/>
      <c r="E13" s="14"/>
      <c r="F13" s="14"/>
      <c r="G13" s="14"/>
      <c r="H13" s="14"/>
      <c r="I13" s="14"/>
    </row>
    <row r="14" spans="1:33" ht="28.9">
      <c r="A14" s="16" t="s">
        <v>32</v>
      </c>
      <c r="B14" s="13">
        <f>B10-B12</f>
        <v>17.723749999999995</v>
      </c>
      <c r="C14" s="13">
        <f>C10-C12</f>
        <v>17.859059829059831</v>
      </c>
      <c r="D14" s="13">
        <f>D10-D12</f>
        <v>26.394823008849556</v>
      </c>
      <c r="E14" s="13">
        <f>E10-E12</f>
        <v>8.2166666666666686</v>
      </c>
      <c r="F14" s="13">
        <f>F10-F12</f>
        <v>23.449181818181813</v>
      </c>
      <c r="G14" s="13">
        <f>G10-G12</f>
        <v>20.951052631578946</v>
      </c>
      <c r="H14" s="13">
        <f>H10-H12</f>
        <v>13.288888888888891</v>
      </c>
      <c r="I14" s="13">
        <f>I10-I12</f>
        <v>11.266666666666666</v>
      </c>
      <c r="J14" s="11"/>
      <c r="K14" s="11">
        <f>SUM(B14:I14)</f>
        <v>139.15008950989238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spans="1:33" ht="28.9">
      <c r="A15" s="16" t="s">
        <v>33</v>
      </c>
      <c r="B15" s="13">
        <f>B11-B12</f>
        <v>13.442499999999995</v>
      </c>
      <c r="C15" s="13">
        <f>C11-C12</f>
        <v>13.273589743589753</v>
      </c>
      <c r="D15" s="13">
        <f>D11-D12</f>
        <v>20.203230088495573</v>
      </c>
      <c r="E15" s="13">
        <f>E11-E12</f>
        <v>2.7999999999999972</v>
      </c>
      <c r="F15" s="13">
        <f>F11-F12</f>
        <v>13.444636363636363</v>
      </c>
      <c r="G15" s="13">
        <f>G11-G12</f>
        <v>16.81421052631579</v>
      </c>
      <c r="H15" s="13">
        <f>H11-H12</f>
        <v>9.8888888888888999</v>
      </c>
      <c r="I15" s="13">
        <f>I11-I12</f>
        <v>9.4444444444444429</v>
      </c>
      <c r="J15" s="11"/>
      <c r="K15" s="11">
        <f>SUM(B15:I15)</f>
        <v>99.311500055370814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7" spans="1:19">
      <c r="A17" s="25" t="s">
        <v>34</v>
      </c>
      <c r="B17" s="25" t="s">
        <v>124</v>
      </c>
      <c r="C17" s="25" t="s">
        <v>125</v>
      </c>
      <c r="D17" s="25" t="s">
        <v>92</v>
      </c>
      <c r="E17" s="25" t="s">
        <v>126</v>
      </c>
      <c r="F17" s="25" t="s">
        <v>127</v>
      </c>
      <c r="G17" s="25" t="s">
        <v>112</v>
      </c>
      <c r="H17" s="25" t="s">
        <v>95</v>
      </c>
      <c r="I17" s="25" t="s">
        <v>96</v>
      </c>
      <c r="K17" s="2"/>
    </row>
    <row r="18" spans="1:19" ht="86.45">
      <c r="A18" s="26" t="s">
        <v>9</v>
      </c>
      <c r="B18" s="27" t="s">
        <v>128</v>
      </c>
      <c r="C18" s="27" t="s">
        <v>12</v>
      </c>
      <c r="D18" s="27" t="s">
        <v>129</v>
      </c>
      <c r="E18" s="27" t="s">
        <v>130</v>
      </c>
      <c r="F18" s="27" t="s">
        <v>131</v>
      </c>
      <c r="G18" s="27" t="s">
        <v>12</v>
      </c>
      <c r="H18" s="27" t="s">
        <v>97</v>
      </c>
      <c r="I18" s="27" t="s">
        <v>103</v>
      </c>
      <c r="K18" s="5"/>
      <c r="S18" s="21"/>
    </row>
    <row r="19" spans="1:19" ht="15" thickBot="1">
      <c r="A19" s="28" t="s">
        <v>17</v>
      </c>
      <c r="B19" s="29" t="s">
        <v>132</v>
      </c>
      <c r="C19" s="29" t="s">
        <v>133</v>
      </c>
      <c r="D19" s="29" t="s">
        <v>134</v>
      </c>
      <c r="E19" s="29" t="s">
        <v>135</v>
      </c>
      <c r="F19" s="29" t="s">
        <v>136</v>
      </c>
      <c r="G19" s="29" t="s">
        <v>121</v>
      </c>
      <c r="H19" s="29" t="s">
        <v>132</v>
      </c>
      <c r="I19" s="29" t="s">
        <v>132</v>
      </c>
      <c r="K19" s="8"/>
    </row>
    <row r="20" spans="1:19" s="17" customFormat="1">
      <c r="A20" s="30" t="s">
        <v>123</v>
      </c>
      <c r="B20" s="31">
        <v>5451.3</v>
      </c>
      <c r="C20" s="31">
        <v>95863</v>
      </c>
      <c r="D20" s="31">
        <v>84831.76</v>
      </c>
      <c r="E20" s="31">
        <v>4081.45</v>
      </c>
      <c r="F20" s="31">
        <v>34487.94</v>
      </c>
      <c r="G20" s="31">
        <v>25098.25</v>
      </c>
      <c r="H20" s="31">
        <v>5606.47</v>
      </c>
      <c r="I20" s="31">
        <v>6992.49</v>
      </c>
      <c r="K20" s="17">
        <f>SUM(B20:I20)</f>
        <v>262412.66000000003</v>
      </c>
    </row>
    <row r="21" spans="1:19" s="20" customFormat="1">
      <c r="A21" s="32" t="s">
        <v>39</v>
      </c>
      <c r="B21" s="33">
        <v>0.16639999999999999</v>
      </c>
      <c r="C21" s="33">
        <v>0.1386</v>
      </c>
      <c r="D21" s="33">
        <v>0.12709999999999999</v>
      </c>
      <c r="E21" s="33">
        <v>0.2346</v>
      </c>
      <c r="F21" s="33">
        <v>0.23200000000000001</v>
      </c>
      <c r="G21" s="33">
        <v>0.12709999999999999</v>
      </c>
      <c r="H21" s="33" t="s">
        <v>57</v>
      </c>
      <c r="I21" s="33" t="s">
        <v>57</v>
      </c>
      <c r="K21" s="20">
        <f>AVERAGE(B21:I21)</f>
        <v>0.17096666666666663</v>
      </c>
    </row>
    <row r="22" spans="1:19">
      <c r="A22" s="34" t="s">
        <v>40</v>
      </c>
      <c r="B22" s="35">
        <v>74</v>
      </c>
      <c r="C22" s="35">
        <v>1407</v>
      </c>
      <c r="D22" s="35">
        <v>883</v>
      </c>
      <c r="E22" s="35">
        <v>98</v>
      </c>
      <c r="F22" s="35">
        <v>423</v>
      </c>
      <c r="G22" s="35">
        <v>377</v>
      </c>
      <c r="H22" s="35">
        <v>65</v>
      </c>
      <c r="I22" s="35">
        <v>95</v>
      </c>
      <c r="K22" s="50">
        <f>SUM(B22:I22)</f>
        <v>3422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5DBE-71C5-4E5A-A126-15356F203494}">
  <dimension ref="A1:AF22"/>
  <sheetViews>
    <sheetView topLeftCell="A5" zoomScale="72" zoomScaleNormal="72" workbookViewId="0">
      <selection activeCell="A17" sqref="A17:H22"/>
    </sheetView>
  </sheetViews>
  <sheetFormatPr defaultRowHeight="14.45"/>
  <cols>
    <col min="1" max="1" width="30.7109375" customWidth="1"/>
    <col min="2" max="3" width="20.7109375" customWidth="1"/>
    <col min="4" max="4" width="18.7109375" customWidth="1"/>
    <col min="5" max="6" width="20.140625" customWidth="1"/>
    <col min="7" max="8" width="18.7109375" customWidth="1"/>
    <col min="9" max="9" width="21.28515625" customWidth="1"/>
    <col min="10" max="10" width="15.85546875" customWidth="1"/>
  </cols>
  <sheetData>
    <row r="1" spans="1:32" s="2" customFormat="1">
      <c r="A1" s="1" t="s">
        <v>0</v>
      </c>
      <c r="B1" s="1" t="s">
        <v>137</v>
      </c>
      <c r="C1" s="1" t="s">
        <v>138</v>
      </c>
      <c r="D1" s="1" t="s">
        <v>139</v>
      </c>
      <c r="E1" s="56"/>
      <c r="F1" s="56"/>
      <c r="G1" s="1" t="s">
        <v>95</v>
      </c>
      <c r="H1" s="1" t="s">
        <v>96</v>
      </c>
      <c r="J1" s="2" t="s">
        <v>8</v>
      </c>
    </row>
    <row r="2" spans="1:32" s="5" customFormat="1" ht="100.9" customHeight="1">
      <c r="A2" s="3" t="s">
        <v>9</v>
      </c>
      <c r="B2" s="18" t="s">
        <v>140</v>
      </c>
      <c r="C2" s="18" t="s">
        <v>141</v>
      </c>
      <c r="D2" s="18" t="s">
        <v>12</v>
      </c>
      <c r="E2" s="55"/>
      <c r="F2" s="55"/>
      <c r="G2" s="18" t="s">
        <v>97</v>
      </c>
      <c r="H2" s="18" t="s">
        <v>103</v>
      </c>
      <c r="I2" s="4"/>
    </row>
    <row r="3" spans="1:32" s="4" customFormat="1" ht="15" thickBot="1">
      <c r="A3" s="6" t="s">
        <v>17</v>
      </c>
      <c r="B3" s="7" t="s">
        <v>142</v>
      </c>
      <c r="C3" s="7" t="s">
        <v>143</v>
      </c>
      <c r="D3" s="7" t="s">
        <v>144</v>
      </c>
      <c r="E3" s="54"/>
      <c r="F3" s="54"/>
      <c r="G3" s="7" t="s">
        <v>145</v>
      </c>
      <c r="H3" s="7" t="s">
        <v>145</v>
      </c>
      <c r="J3" s="8"/>
    </row>
    <row r="4" spans="1:32">
      <c r="A4" s="9" t="s">
        <v>24</v>
      </c>
      <c r="B4" s="10">
        <v>0</v>
      </c>
      <c r="C4" s="10">
        <v>1955.8</v>
      </c>
      <c r="D4" s="10">
        <v>15327</v>
      </c>
      <c r="E4" s="60"/>
      <c r="F4" s="60"/>
      <c r="G4" s="10">
        <v>682.71</v>
      </c>
      <c r="H4" s="10">
        <v>745.71</v>
      </c>
      <c r="I4" s="11"/>
      <c r="J4" s="11">
        <f>SUM(B4:H4)</f>
        <v>18711.219999999998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32">
      <c r="A5" s="12" t="s">
        <v>25</v>
      </c>
      <c r="B5" s="13">
        <v>0</v>
      </c>
      <c r="C5" s="13">
        <v>215</v>
      </c>
      <c r="D5" s="13">
        <v>691</v>
      </c>
      <c r="E5" s="58"/>
      <c r="F5" s="58"/>
      <c r="G5" s="13">
        <v>21</v>
      </c>
      <c r="H5" s="13">
        <v>51</v>
      </c>
      <c r="I5" s="11"/>
      <c r="J5" s="11">
        <f>SUM(B5:H5)</f>
        <v>978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>
      <c r="A6" s="12" t="s">
        <v>26</v>
      </c>
      <c r="B6" s="13">
        <v>0</v>
      </c>
      <c r="C6" s="13">
        <v>174.69</v>
      </c>
      <c r="D6" s="13">
        <v>2137.42</v>
      </c>
      <c r="E6" s="58"/>
      <c r="F6" s="58"/>
      <c r="G6" s="13">
        <v>40</v>
      </c>
      <c r="H6" s="13">
        <v>69.7</v>
      </c>
      <c r="I6" s="11"/>
      <c r="J6" s="11">
        <f>SUM(B6:H6)</f>
        <v>2421.81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>
      <c r="A7" s="12" t="s">
        <v>56</v>
      </c>
      <c r="B7" s="13">
        <f>B4-B5-B6</f>
        <v>0</v>
      </c>
      <c r="C7" s="13">
        <f>C4-C5-C6</f>
        <v>1566.11</v>
      </c>
      <c r="D7" s="13">
        <f>D4-D5-D6</f>
        <v>12498.58</v>
      </c>
      <c r="E7" s="58"/>
      <c r="F7" s="58"/>
      <c r="G7" s="13">
        <f>G4-G5-G6</f>
        <v>621.71</v>
      </c>
      <c r="H7" s="13">
        <f>H4-H5-H6</f>
        <v>625.01</v>
      </c>
      <c r="I7" s="11"/>
      <c r="J7" s="11">
        <f>SUM(B7:H7)</f>
        <v>15311.410000000002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s="15" customFormat="1" ht="5.45" customHeight="1">
      <c r="A8" s="14"/>
      <c r="B8" s="14"/>
      <c r="C8" s="14"/>
      <c r="D8" s="14"/>
      <c r="E8" s="14"/>
      <c r="F8" s="14"/>
      <c r="G8" s="14"/>
      <c r="H8" s="14"/>
    </row>
    <row r="9" spans="1:32">
      <c r="A9" s="12" t="s">
        <v>28</v>
      </c>
      <c r="B9" s="23">
        <v>0</v>
      </c>
      <c r="C9" s="19">
        <v>17</v>
      </c>
      <c r="D9" s="19">
        <v>151</v>
      </c>
      <c r="E9" s="59"/>
      <c r="F9" s="59"/>
      <c r="G9" s="19">
        <v>8</v>
      </c>
      <c r="H9" s="19">
        <v>8</v>
      </c>
      <c r="J9" s="22">
        <f>SUM(B9:H9)</f>
        <v>184</v>
      </c>
    </row>
    <row r="10" spans="1:32">
      <c r="A10" s="12" t="s">
        <v>29</v>
      </c>
      <c r="B10" s="61" t="s">
        <v>57</v>
      </c>
      <c r="C10" s="13">
        <f>C4/C9</f>
        <v>115.04705882352941</v>
      </c>
      <c r="D10" s="13">
        <f>D4/D9</f>
        <v>101.50331125827815</v>
      </c>
      <c r="E10" s="58"/>
      <c r="F10" s="58"/>
      <c r="G10" s="13">
        <f>G4/G9</f>
        <v>85.338750000000005</v>
      </c>
      <c r="H10" s="13">
        <f>H4/H9</f>
        <v>93.213750000000005</v>
      </c>
      <c r="I10" s="11"/>
      <c r="J10" s="11">
        <f>AVERAGE(B10:H10)</f>
        <v>98.775717520451892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>
      <c r="A11" s="12" t="s">
        <v>30</v>
      </c>
      <c r="B11" s="61" t="s">
        <v>57</v>
      </c>
      <c r="C11" s="13">
        <f>(C4-C5)/C9</f>
        <v>102.39999999999999</v>
      </c>
      <c r="D11" s="13">
        <f>(D4-D5)/D9</f>
        <v>96.927152317880797</v>
      </c>
      <c r="E11" s="58"/>
      <c r="F11" s="58"/>
      <c r="G11" s="13">
        <f>(G4-G5)/G9</f>
        <v>82.713750000000005</v>
      </c>
      <c r="H11" s="13">
        <f>(H4-H5)/H9</f>
        <v>86.838750000000005</v>
      </c>
      <c r="I11" s="11"/>
      <c r="J11" s="11">
        <f>AVERAGE(B11:H11)</f>
        <v>92.219913079470203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ht="28.9">
      <c r="A12" s="16" t="s">
        <v>31</v>
      </c>
      <c r="B12" s="61" t="s">
        <v>57</v>
      </c>
      <c r="C12" s="13">
        <f>(C4-C5-C6)/C9</f>
        <v>92.124117647058824</v>
      </c>
      <c r="D12" s="13">
        <f>(D4-D5-D6)/D9</f>
        <v>82.772052980132443</v>
      </c>
      <c r="E12" s="58"/>
      <c r="F12" s="58"/>
      <c r="G12" s="13">
        <f>(G4-G5-G6)/G9</f>
        <v>77.713750000000005</v>
      </c>
      <c r="H12" s="13">
        <f>(H4-H5-H6)/H9</f>
        <v>78.126249999999999</v>
      </c>
      <c r="I12" s="11"/>
      <c r="J12" s="11">
        <f>AVERAGE(B12:H12)</f>
        <v>82.684042656797828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s="15" customFormat="1" ht="5.45" customHeight="1">
      <c r="A13" s="14"/>
      <c r="B13" s="62"/>
      <c r="C13" s="14"/>
      <c r="D13" s="14"/>
      <c r="E13" s="14"/>
      <c r="F13" s="14"/>
      <c r="G13" s="14"/>
      <c r="H13" s="14"/>
    </row>
    <row r="14" spans="1:32" ht="28.9">
      <c r="A14" s="16" t="s">
        <v>32</v>
      </c>
      <c r="B14" s="61" t="s">
        <v>57</v>
      </c>
      <c r="C14" s="13">
        <f>C10-C12</f>
        <v>22.922941176470587</v>
      </c>
      <c r="D14" s="13">
        <f>D10-D12</f>
        <v>18.731258278145702</v>
      </c>
      <c r="E14" s="58"/>
      <c r="F14" s="58"/>
      <c r="G14" s="13">
        <f>G10-G12</f>
        <v>7.625</v>
      </c>
      <c r="H14" s="13">
        <f>H10-H12</f>
        <v>15.087500000000006</v>
      </c>
      <c r="I14" s="11"/>
      <c r="J14" s="11">
        <f>SUM(B14:H14)</f>
        <v>64.366699454616295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ht="28.9">
      <c r="A15" s="16" t="s">
        <v>33</v>
      </c>
      <c r="B15" s="61" t="s">
        <v>57</v>
      </c>
      <c r="C15" s="13">
        <f>C11-C12</f>
        <v>10.275882352941167</v>
      </c>
      <c r="D15" s="13">
        <f>D11-D12</f>
        <v>14.155099337748354</v>
      </c>
      <c r="E15" s="58"/>
      <c r="F15" s="58"/>
      <c r="G15" s="13">
        <f>G11-G12</f>
        <v>5</v>
      </c>
      <c r="H15" s="13">
        <f>H11-H12</f>
        <v>8.7125000000000057</v>
      </c>
      <c r="I15" s="11"/>
      <c r="J15" s="11">
        <f>SUM(B15:H15)</f>
        <v>38.143481690689526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7" spans="1:18">
      <c r="A17" s="25" t="s">
        <v>34</v>
      </c>
      <c r="B17" s="25" t="s">
        <v>137</v>
      </c>
      <c r="C17" s="25" t="s">
        <v>138</v>
      </c>
      <c r="D17" s="25" t="s">
        <v>139</v>
      </c>
      <c r="E17" s="25" t="s">
        <v>146</v>
      </c>
      <c r="F17" s="25" t="s">
        <v>146</v>
      </c>
      <c r="G17" s="25" t="s">
        <v>95</v>
      </c>
      <c r="H17" s="25" t="s">
        <v>96</v>
      </c>
      <c r="J17" s="2"/>
    </row>
    <row r="18" spans="1:18" ht="57.6">
      <c r="A18" s="26" t="s">
        <v>9</v>
      </c>
      <c r="B18" s="27" t="s">
        <v>140</v>
      </c>
      <c r="C18" s="27" t="s">
        <v>141</v>
      </c>
      <c r="D18" s="27" t="s">
        <v>12</v>
      </c>
      <c r="E18" s="27" t="s">
        <v>147</v>
      </c>
      <c r="F18" s="27" t="s">
        <v>148</v>
      </c>
      <c r="G18" s="27" t="s">
        <v>97</v>
      </c>
      <c r="H18" s="27" t="s">
        <v>103</v>
      </c>
      <c r="J18" s="5"/>
      <c r="R18" s="21"/>
    </row>
    <row r="19" spans="1:18" ht="15" thickBot="1">
      <c r="A19" s="28" t="s">
        <v>17</v>
      </c>
      <c r="B19" s="29" t="s">
        <v>142</v>
      </c>
      <c r="C19" s="29" t="s">
        <v>143</v>
      </c>
      <c r="D19" s="29" t="s">
        <v>144</v>
      </c>
      <c r="E19" s="29" t="s">
        <v>149</v>
      </c>
      <c r="F19" s="29" t="s">
        <v>150</v>
      </c>
      <c r="G19" s="29" t="s">
        <v>145</v>
      </c>
      <c r="H19" s="29" t="s">
        <v>145</v>
      </c>
      <c r="J19" s="8"/>
    </row>
    <row r="20" spans="1:18" s="17" customFormat="1">
      <c r="A20" s="30" t="s">
        <v>123</v>
      </c>
      <c r="B20" s="31">
        <v>217.83</v>
      </c>
      <c r="C20" s="31">
        <v>18169.73</v>
      </c>
      <c r="D20" s="31">
        <v>81202.27</v>
      </c>
      <c r="E20" s="31">
        <v>686.48</v>
      </c>
      <c r="F20" s="31">
        <v>182.96</v>
      </c>
      <c r="G20" s="31">
        <v>7415.45</v>
      </c>
      <c r="H20" s="31">
        <v>4041.87</v>
      </c>
      <c r="J20" s="17">
        <f>SUM(B20:H20)</f>
        <v>111916.59</v>
      </c>
    </row>
    <row r="21" spans="1:18" s="20" customFormat="1">
      <c r="A21" s="32" t="s">
        <v>39</v>
      </c>
      <c r="B21" s="33">
        <v>0.29480000000000001</v>
      </c>
      <c r="C21" s="33">
        <v>0.27560000000000001</v>
      </c>
      <c r="D21" s="33">
        <v>0.1341</v>
      </c>
      <c r="E21" s="33">
        <v>0.28670000000000001</v>
      </c>
      <c r="F21" s="33">
        <v>0.184</v>
      </c>
      <c r="G21" s="33" t="s">
        <v>57</v>
      </c>
      <c r="H21" s="33" t="s">
        <v>57</v>
      </c>
      <c r="J21" s="20">
        <f>AVERAGE(B21:H21)</f>
        <v>0.23504</v>
      </c>
    </row>
    <row r="22" spans="1:18">
      <c r="A22" s="34" t="s">
        <v>40</v>
      </c>
      <c r="B22" s="35">
        <v>2</v>
      </c>
      <c r="C22" s="35">
        <v>252</v>
      </c>
      <c r="D22" s="35">
        <v>1199</v>
      </c>
      <c r="E22" s="35">
        <v>1</v>
      </c>
      <c r="F22" s="35">
        <v>1</v>
      </c>
      <c r="G22" s="35">
        <v>72</v>
      </c>
      <c r="H22" s="35">
        <v>65</v>
      </c>
      <c r="J22" s="50">
        <f>SUM(B22:H22)</f>
        <v>1592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9B00-0D34-43B2-917F-B122D6B4936D}">
  <dimension ref="A1:AJ22"/>
  <sheetViews>
    <sheetView topLeftCell="G1" zoomScale="72" zoomScaleNormal="72" workbookViewId="0">
      <selection activeCell="L22" sqref="A17:L22"/>
    </sheetView>
  </sheetViews>
  <sheetFormatPr defaultRowHeight="14.45"/>
  <cols>
    <col min="1" max="1" width="30.7109375" customWidth="1"/>
    <col min="2" max="3" width="20.7109375" customWidth="1"/>
    <col min="4" max="5" width="18.7109375" customWidth="1"/>
    <col min="6" max="6" width="18.42578125" customWidth="1"/>
    <col min="7" max="12" width="18.7109375" customWidth="1"/>
    <col min="13" max="13" width="21.28515625" customWidth="1"/>
    <col min="14" max="14" width="15.85546875" customWidth="1"/>
  </cols>
  <sheetData>
    <row r="1" spans="1:36" s="2" customFormat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137</v>
      </c>
      <c r="J1" s="1" t="s">
        <v>138</v>
      </c>
      <c r="K1" s="1" t="s">
        <v>95</v>
      </c>
      <c r="L1" s="1" t="s">
        <v>96</v>
      </c>
      <c r="N1" s="2" t="s">
        <v>8</v>
      </c>
    </row>
    <row r="2" spans="1:36" s="5" customFormat="1" ht="100.9" customHeight="1">
      <c r="A2" s="3" t="s">
        <v>9</v>
      </c>
      <c r="B2" s="18" t="s">
        <v>158</v>
      </c>
      <c r="C2" s="18" t="s">
        <v>158</v>
      </c>
      <c r="D2" s="18" t="s">
        <v>12</v>
      </c>
      <c r="E2" s="18" t="s">
        <v>159</v>
      </c>
      <c r="F2" s="18" t="s">
        <v>160</v>
      </c>
      <c r="G2" s="18" t="s">
        <v>161</v>
      </c>
      <c r="H2" s="18" t="s">
        <v>158</v>
      </c>
      <c r="I2" s="18" t="s">
        <v>140</v>
      </c>
      <c r="J2" s="18" t="s">
        <v>141</v>
      </c>
      <c r="K2" s="18" t="s">
        <v>97</v>
      </c>
      <c r="L2" s="18" t="s">
        <v>103</v>
      </c>
      <c r="M2" s="4"/>
    </row>
    <row r="3" spans="1:36" s="4" customFormat="1" ht="15" thickBot="1">
      <c r="A3" s="6" t="s">
        <v>17</v>
      </c>
      <c r="B3" s="7" t="s">
        <v>162</v>
      </c>
      <c r="C3" s="7" t="s">
        <v>163</v>
      </c>
      <c r="D3" s="7" t="s">
        <v>164</v>
      </c>
      <c r="E3" s="7" t="s">
        <v>165</v>
      </c>
      <c r="F3" s="7" t="s">
        <v>166</v>
      </c>
      <c r="G3" s="7" t="s">
        <v>167</v>
      </c>
      <c r="H3" s="7" t="s">
        <v>168</v>
      </c>
      <c r="I3" s="7" t="s">
        <v>142</v>
      </c>
      <c r="J3" s="7" t="s">
        <v>143</v>
      </c>
      <c r="K3" s="7" t="s">
        <v>165</v>
      </c>
      <c r="L3" s="7" t="s">
        <v>165</v>
      </c>
      <c r="N3" s="8"/>
    </row>
    <row r="4" spans="1:36">
      <c r="A4" s="9" t="s">
        <v>24</v>
      </c>
      <c r="B4" s="10">
        <v>0</v>
      </c>
      <c r="C4" s="10">
        <v>0</v>
      </c>
      <c r="D4" s="10">
        <v>13885.98</v>
      </c>
      <c r="E4" s="10">
        <v>324.91000000000003</v>
      </c>
      <c r="F4" s="10">
        <v>45733.98</v>
      </c>
      <c r="G4" s="10">
        <v>1853.78</v>
      </c>
      <c r="H4" s="10">
        <v>0</v>
      </c>
      <c r="I4" s="10">
        <v>0</v>
      </c>
      <c r="J4" s="10">
        <v>1955.8</v>
      </c>
      <c r="K4" s="10">
        <v>281.74</v>
      </c>
      <c r="L4" s="10">
        <v>560.25</v>
      </c>
      <c r="M4" s="11"/>
      <c r="N4" s="11">
        <f>SUM(B4:L4)</f>
        <v>64596.44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>
      <c r="A5" s="12" t="s">
        <v>25</v>
      </c>
      <c r="B5" s="10">
        <v>0</v>
      </c>
      <c r="C5" s="10">
        <v>0</v>
      </c>
      <c r="D5" s="13">
        <v>588.5</v>
      </c>
      <c r="E5" s="13">
        <v>0</v>
      </c>
      <c r="F5" s="13">
        <v>2425.79</v>
      </c>
      <c r="G5" s="13">
        <v>145.1</v>
      </c>
      <c r="H5" s="10">
        <v>0</v>
      </c>
      <c r="I5" s="13">
        <v>0</v>
      </c>
      <c r="J5" s="13">
        <v>215</v>
      </c>
      <c r="K5" s="13">
        <v>1</v>
      </c>
      <c r="L5" s="13">
        <v>23.5</v>
      </c>
      <c r="M5" s="11"/>
      <c r="N5" s="11">
        <f>SUM(B5:L5)</f>
        <v>3398.89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A6" s="12" t="s">
        <v>26</v>
      </c>
      <c r="B6" s="10">
        <v>0</v>
      </c>
      <c r="C6" s="10">
        <v>0</v>
      </c>
      <c r="D6" s="13">
        <v>2009.38</v>
      </c>
      <c r="E6" s="13">
        <v>69.98</v>
      </c>
      <c r="F6" s="13">
        <v>8455.44</v>
      </c>
      <c r="G6" s="13">
        <v>203.89</v>
      </c>
      <c r="H6" s="10">
        <v>0</v>
      </c>
      <c r="I6" s="13">
        <v>0</v>
      </c>
      <c r="J6" s="13">
        <v>174.69</v>
      </c>
      <c r="K6" s="13">
        <v>34</v>
      </c>
      <c r="L6" s="13">
        <v>47</v>
      </c>
      <c r="M6" s="11"/>
      <c r="N6" s="11">
        <f>SUM(B6:L6)</f>
        <v>10994.380000000001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>
      <c r="A7" s="12" t="s">
        <v>56</v>
      </c>
      <c r="B7" s="10">
        <v>0</v>
      </c>
      <c r="C7" s="13">
        <f>C4-C5-C6</f>
        <v>0</v>
      </c>
      <c r="D7" s="13">
        <f>D4-D5-D6</f>
        <v>11288.099999999999</v>
      </c>
      <c r="E7" s="13">
        <f>E4-E5-E6</f>
        <v>254.93</v>
      </c>
      <c r="F7" s="13">
        <f>F4-F5-F6</f>
        <v>34852.75</v>
      </c>
      <c r="G7" s="13">
        <f>G4-G5-G6</f>
        <v>1504.79</v>
      </c>
      <c r="H7" s="13">
        <f>H4-H5-H6</f>
        <v>0</v>
      </c>
      <c r="I7" s="13">
        <f>I4-I5-I6</f>
        <v>0</v>
      </c>
      <c r="J7" s="13">
        <f>J4-J5-J6</f>
        <v>1566.11</v>
      </c>
      <c r="K7" s="13">
        <f>K4-K5-K6</f>
        <v>246.74</v>
      </c>
      <c r="L7" s="13">
        <f>L4-L5-L6</f>
        <v>489.75</v>
      </c>
      <c r="M7" s="11"/>
      <c r="N7" s="11">
        <f>SUM(B7:L7)</f>
        <v>50203.17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s="15" customFormat="1" ht="5.4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36">
      <c r="A9" s="12" t="s">
        <v>28</v>
      </c>
      <c r="B9" s="12">
        <v>0</v>
      </c>
      <c r="C9" s="19">
        <v>0</v>
      </c>
      <c r="D9" s="19">
        <v>142</v>
      </c>
      <c r="E9" s="19">
        <v>5</v>
      </c>
      <c r="F9" s="19">
        <v>401</v>
      </c>
      <c r="G9" s="19">
        <v>27</v>
      </c>
      <c r="H9" s="19">
        <v>0</v>
      </c>
      <c r="I9" s="23">
        <v>0</v>
      </c>
      <c r="J9" s="19">
        <v>17</v>
      </c>
      <c r="K9" s="19">
        <v>2</v>
      </c>
      <c r="L9" s="19">
        <v>6</v>
      </c>
      <c r="N9" s="22">
        <f>SUM(B9:L9)</f>
        <v>600</v>
      </c>
    </row>
    <row r="10" spans="1:36">
      <c r="A10" s="12" t="s">
        <v>29</v>
      </c>
      <c r="B10" s="65" t="s">
        <v>57</v>
      </c>
      <c r="C10" s="65" t="s">
        <v>57</v>
      </c>
      <c r="D10" s="13">
        <f>D4/D9</f>
        <v>97.788591549295774</v>
      </c>
      <c r="E10" s="13">
        <f>E4/E9</f>
        <v>64.981999999999999</v>
      </c>
      <c r="F10" s="13">
        <f>F4/F9</f>
        <v>114.04982543640898</v>
      </c>
      <c r="G10" s="13">
        <f>G4/G9</f>
        <v>68.65851851851852</v>
      </c>
      <c r="H10" s="65" t="s">
        <v>57</v>
      </c>
      <c r="I10" s="61" t="s">
        <v>57</v>
      </c>
      <c r="J10" s="13">
        <f>J4/J9</f>
        <v>115.04705882352941</v>
      </c>
      <c r="K10" s="13">
        <f>K4/K9</f>
        <v>140.87</v>
      </c>
      <c r="L10" s="13">
        <f>L4/L9</f>
        <v>93.375</v>
      </c>
      <c r="M10" s="11"/>
      <c r="N10" s="11">
        <f>AVERAGE(B10:L10)</f>
        <v>99.25299918967896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>
      <c r="A11" s="12" t="s">
        <v>30</v>
      </c>
      <c r="B11" s="65" t="s">
        <v>57</v>
      </c>
      <c r="C11" s="65" t="s">
        <v>57</v>
      </c>
      <c r="D11" s="13">
        <f>(D4-D5)/D9</f>
        <v>93.64422535211267</v>
      </c>
      <c r="E11" s="13">
        <f>(E4-E5)/E9</f>
        <v>64.981999999999999</v>
      </c>
      <c r="F11" s="13">
        <f>(F4-F5)/F9</f>
        <v>108.00047381546135</v>
      </c>
      <c r="G11" s="13">
        <f>(G4-G5)/G9</f>
        <v>63.284444444444446</v>
      </c>
      <c r="H11" s="65" t="s">
        <v>57</v>
      </c>
      <c r="I11" s="61" t="s">
        <v>57</v>
      </c>
      <c r="J11" s="13">
        <f>(J4-J5)/J9</f>
        <v>102.39999999999999</v>
      </c>
      <c r="K11" s="13">
        <f>(K4-K5)/K9</f>
        <v>140.37</v>
      </c>
      <c r="L11" s="13">
        <f>(L4-L5)/L9</f>
        <v>89.458333333333329</v>
      </c>
      <c r="M11" s="11"/>
      <c r="N11" s="11">
        <f>AVERAGE(B11:L11)</f>
        <v>94.591353849335974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ht="28.9">
      <c r="A12" s="16" t="s">
        <v>31</v>
      </c>
      <c r="B12" s="64" t="s">
        <v>57</v>
      </c>
      <c r="C12" s="64" t="s">
        <v>57</v>
      </c>
      <c r="D12" s="13">
        <f>(D4-D5-D6)/D9</f>
        <v>79.493661971830974</v>
      </c>
      <c r="E12" s="13">
        <f>(E4-E5-E6)/E9</f>
        <v>50.986000000000004</v>
      </c>
      <c r="F12" s="13">
        <f>(F4-F5-F6)/F9</f>
        <v>86.914588528678308</v>
      </c>
      <c r="G12" s="13">
        <f>(G4-G5-G6)/G9</f>
        <v>55.732962962962965</v>
      </c>
      <c r="H12" s="64" t="s">
        <v>57</v>
      </c>
      <c r="I12" s="61" t="s">
        <v>57</v>
      </c>
      <c r="J12" s="13">
        <f>(J4-J5-J6)/J9</f>
        <v>92.124117647058824</v>
      </c>
      <c r="K12" s="13">
        <f>(K4-K5-K6)/K9</f>
        <v>123.37</v>
      </c>
      <c r="L12" s="13">
        <f>(L4-L5-L6)/L9</f>
        <v>81.625</v>
      </c>
      <c r="M12" s="11"/>
      <c r="N12" s="11">
        <f>AVERAGE(B12:L12)</f>
        <v>81.463761587218727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s="15" customFormat="1" ht="5.45" customHeight="1">
      <c r="A13" s="14"/>
      <c r="B13" s="62"/>
      <c r="C13" s="62"/>
      <c r="D13" s="14"/>
      <c r="E13" s="14"/>
      <c r="F13" s="14"/>
      <c r="G13" s="14"/>
      <c r="H13" s="62"/>
      <c r="I13" s="62"/>
      <c r="J13" s="14"/>
      <c r="K13" s="14"/>
      <c r="L13" s="14"/>
    </row>
    <row r="14" spans="1:36" ht="28.9">
      <c r="A14" s="16" t="s">
        <v>32</v>
      </c>
      <c r="B14" s="64" t="s">
        <v>57</v>
      </c>
      <c r="C14" s="64" t="s">
        <v>57</v>
      </c>
      <c r="D14" s="13">
        <f>D10-D12</f>
        <v>18.294929577464799</v>
      </c>
      <c r="E14" s="13">
        <f>E10-E12</f>
        <v>13.995999999999995</v>
      </c>
      <c r="F14" s="13">
        <f>F10-F12</f>
        <v>27.135236907730672</v>
      </c>
      <c r="G14" s="13">
        <f>G10-G12</f>
        <v>12.925555555555555</v>
      </c>
      <c r="H14" s="64" t="s">
        <v>57</v>
      </c>
      <c r="I14" s="61" t="s">
        <v>57</v>
      </c>
      <c r="J14" s="13">
        <f>J10-J12</f>
        <v>22.922941176470587</v>
      </c>
      <c r="K14" s="13">
        <f>K10-K12</f>
        <v>17.5</v>
      </c>
      <c r="L14" s="13">
        <f>L10-L12</f>
        <v>11.75</v>
      </c>
      <c r="M14" s="11"/>
      <c r="N14" s="11">
        <f>SUM(B14:L14)</f>
        <v>124.5246632172216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ht="28.9">
      <c r="A15" s="16" t="s">
        <v>33</v>
      </c>
      <c r="B15" s="64" t="s">
        <v>57</v>
      </c>
      <c r="C15" s="64" t="s">
        <v>57</v>
      </c>
      <c r="D15" s="13">
        <f>D11-D12</f>
        <v>14.150563380281696</v>
      </c>
      <c r="E15" s="13">
        <f>E11-E12</f>
        <v>13.995999999999995</v>
      </c>
      <c r="F15" s="13">
        <f>F11-F12</f>
        <v>21.085885286783039</v>
      </c>
      <c r="G15" s="13">
        <f>G11-G12</f>
        <v>7.5514814814814812</v>
      </c>
      <c r="H15" s="64" t="s">
        <v>57</v>
      </c>
      <c r="I15" s="61" t="s">
        <v>57</v>
      </c>
      <c r="J15" s="13">
        <f>J11-J12</f>
        <v>10.275882352941167</v>
      </c>
      <c r="K15" s="13">
        <f>K11-K12</f>
        <v>17</v>
      </c>
      <c r="L15" s="13">
        <f>L11-L12</f>
        <v>7.8333333333333286</v>
      </c>
      <c r="M15" s="11"/>
      <c r="N15" s="11">
        <f>SUM(B15:L15)</f>
        <v>91.893145834820714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7" spans="1:22">
      <c r="A17" s="25" t="s">
        <v>34</v>
      </c>
      <c r="B17" s="25" t="s">
        <v>151</v>
      </c>
      <c r="C17" s="25" t="s">
        <v>152</v>
      </c>
      <c r="D17" s="25" t="s">
        <v>153</v>
      </c>
      <c r="E17" s="25" t="s">
        <v>154</v>
      </c>
      <c r="F17" s="25" t="s">
        <v>155</v>
      </c>
      <c r="G17" s="25" t="s">
        <v>156</v>
      </c>
      <c r="H17" s="25" t="s">
        <v>157</v>
      </c>
      <c r="I17" s="25" t="s">
        <v>137</v>
      </c>
      <c r="J17" s="25" t="s">
        <v>138</v>
      </c>
      <c r="K17" s="25" t="s">
        <v>95</v>
      </c>
      <c r="L17" s="25" t="s">
        <v>96</v>
      </c>
      <c r="N17" s="2"/>
    </row>
    <row r="18" spans="1:22" ht="86.45">
      <c r="A18" s="26" t="s">
        <v>9</v>
      </c>
      <c r="B18" s="27" t="s">
        <v>158</v>
      </c>
      <c r="C18" s="27" t="s">
        <v>158</v>
      </c>
      <c r="D18" s="27" t="s">
        <v>12</v>
      </c>
      <c r="E18" s="27" t="s">
        <v>159</v>
      </c>
      <c r="F18" s="27" t="s">
        <v>160</v>
      </c>
      <c r="G18" s="27" t="s">
        <v>161</v>
      </c>
      <c r="H18" s="27" t="s">
        <v>158</v>
      </c>
      <c r="I18" s="27" t="s">
        <v>140</v>
      </c>
      <c r="J18" s="27" t="s">
        <v>141</v>
      </c>
      <c r="K18" s="27" t="s">
        <v>97</v>
      </c>
      <c r="L18" s="27" t="s">
        <v>103</v>
      </c>
      <c r="N18" s="5"/>
      <c r="V18" s="21"/>
    </row>
    <row r="19" spans="1:22" ht="15" thickBot="1">
      <c r="A19" s="28" t="s">
        <v>17</v>
      </c>
      <c r="B19" s="29" t="s">
        <v>169</v>
      </c>
      <c r="C19" s="29" t="s">
        <v>170</v>
      </c>
      <c r="D19" s="29" t="s">
        <v>164</v>
      </c>
      <c r="E19" s="29" t="s">
        <v>165</v>
      </c>
      <c r="F19" s="29" t="s">
        <v>166</v>
      </c>
      <c r="G19" s="29" t="s">
        <v>167</v>
      </c>
      <c r="H19" s="29" t="s">
        <v>171</v>
      </c>
      <c r="I19" s="29" t="s">
        <v>142</v>
      </c>
      <c r="J19" s="29" t="s">
        <v>143</v>
      </c>
      <c r="K19" s="29" t="s">
        <v>165</v>
      </c>
      <c r="L19" s="29" t="s">
        <v>165</v>
      </c>
      <c r="N19" s="8"/>
    </row>
    <row r="20" spans="1:22" s="17" customFormat="1">
      <c r="A20" s="30" t="s">
        <v>123</v>
      </c>
      <c r="B20" s="66">
        <v>386.32</v>
      </c>
      <c r="C20" s="31">
        <v>830.35</v>
      </c>
      <c r="D20" s="31">
        <v>100034.95</v>
      </c>
      <c r="E20" s="31">
        <v>4293.87</v>
      </c>
      <c r="F20" s="31">
        <v>126337.01</v>
      </c>
      <c r="G20" s="31">
        <v>10497.77</v>
      </c>
      <c r="H20" s="31">
        <v>699.23</v>
      </c>
      <c r="I20" s="31">
        <v>217.83</v>
      </c>
      <c r="J20" s="31">
        <v>13300.04</v>
      </c>
      <c r="K20" s="31">
        <v>5163.16</v>
      </c>
      <c r="L20" s="31">
        <v>6584.72</v>
      </c>
      <c r="N20" s="17">
        <f>SUM(B20:L20)</f>
        <v>268345.25</v>
      </c>
    </row>
    <row r="21" spans="1:22" s="20" customFormat="1">
      <c r="A21" s="32" t="s">
        <v>39</v>
      </c>
      <c r="B21" s="67">
        <v>0.26939999999999997</v>
      </c>
      <c r="C21" s="33">
        <v>0.38009999999999999</v>
      </c>
      <c r="D21" s="33">
        <v>0.15029999999999999</v>
      </c>
      <c r="E21" s="33">
        <v>0.2089</v>
      </c>
      <c r="F21" s="33">
        <v>0.14130000000000001</v>
      </c>
      <c r="G21" s="33">
        <v>0.22159999999999999</v>
      </c>
      <c r="H21" s="33">
        <v>0.34310000000000002</v>
      </c>
      <c r="I21" s="33">
        <v>0.29480000000000001</v>
      </c>
      <c r="J21" s="33">
        <v>0.28760000000000002</v>
      </c>
      <c r="K21" s="33" t="s">
        <v>57</v>
      </c>
      <c r="L21" s="33" t="s">
        <v>57</v>
      </c>
      <c r="N21" s="20">
        <f>AVERAGE(B21:L21)</f>
        <v>0.25523333333333331</v>
      </c>
    </row>
    <row r="22" spans="1:22">
      <c r="A22" s="34" t="s">
        <v>40</v>
      </c>
      <c r="B22" s="68">
        <v>10</v>
      </c>
      <c r="C22" s="35">
        <v>18</v>
      </c>
      <c r="D22" s="35">
        <v>1415</v>
      </c>
      <c r="E22" s="35">
        <v>50</v>
      </c>
      <c r="F22" s="35">
        <v>1408</v>
      </c>
      <c r="G22" s="35">
        <v>227</v>
      </c>
      <c r="H22" s="35">
        <v>10</v>
      </c>
      <c r="I22" s="35">
        <v>2</v>
      </c>
      <c r="J22" s="35">
        <v>169</v>
      </c>
      <c r="K22" s="35">
        <v>52</v>
      </c>
      <c r="L22" s="35">
        <v>90</v>
      </c>
      <c r="N22" s="50">
        <f>SUM(B22:L22)</f>
        <v>3451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262F-3578-4CAD-B392-0731C6D381D6}">
  <dimension ref="A1:AG22"/>
  <sheetViews>
    <sheetView zoomScale="74" zoomScaleNormal="74" workbookViewId="0">
      <selection activeCell="A17" sqref="A17:I22"/>
    </sheetView>
  </sheetViews>
  <sheetFormatPr defaultRowHeight="14.45"/>
  <cols>
    <col min="1" max="1" width="30.7109375" customWidth="1"/>
    <col min="2" max="2" width="19.42578125" customWidth="1"/>
    <col min="3" max="3" width="18.7109375" customWidth="1"/>
    <col min="4" max="4" width="18.42578125" customWidth="1"/>
    <col min="5" max="9" width="18.7109375" customWidth="1"/>
    <col min="10" max="10" width="21.28515625" customWidth="1"/>
    <col min="11" max="11" width="15.85546875" customWidth="1"/>
  </cols>
  <sheetData>
    <row r="1" spans="1:33" s="2" customFormat="1">
      <c r="A1" s="1" t="s">
        <v>0</v>
      </c>
      <c r="B1" s="56"/>
      <c r="C1" s="1" t="s">
        <v>172</v>
      </c>
      <c r="D1" s="1" t="s">
        <v>173</v>
      </c>
      <c r="E1" s="1" t="s">
        <v>174</v>
      </c>
      <c r="F1" s="1" t="s">
        <v>175</v>
      </c>
      <c r="G1" s="1" t="s">
        <v>153</v>
      </c>
      <c r="H1" s="1" t="s">
        <v>95</v>
      </c>
      <c r="I1" s="1" t="s">
        <v>96</v>
      </c>
      <c r="K1" s="2" t="s">
        <v>8</v>
      </c>
    </row>
    <row r="2" spans="1:33" s="5" customFormat="1" ht="100.9" customHeight="1">
      <c r="A2" s="3" t="s">
        <v>9</v>
      </c>
      <c r="B2" s="55"/>
      <c r="C2" s="18" t="s">
        <v>176</v>
      </c>
      <c r="D2" s="18" t="s">
        <v>177</v>
      </c>
      <c r="E2" s="18" t="s">
        <v>12</v>
      </c>
      <c r="F2" s="18" t="s">
        <v>158</v>
      </c>
      <c r="G2" s="18" t="s">
        <v>12</v>
      </c>
      <c r="H2" s="18" t="s">
        <v>97</v>
      </c>
      <c r="I2" s="18" t="s">
        <v>103</v>
      </c>
      <c r="J2" s="4"/>
    </row>
    <row r="3" spans="1:33" s="4" customFormat="1" ht="15" thickBot="1">
      <c r="A3" s="6" t="s">
        <v>17</v>
      </c>
      <c r="B3" s="54"/>
      <c r="C3" s="7" t="s">
        <v>178</v>
      </c>
      <c r="D3" s="7" t="s">
        <v>179</v>
      </c>
      <c r="E3" s="7" t="s">
        <v>180</v>
      </c>
      <c r="F3" s="7" t="s">
        <v>181</v>
      </c>
      <c r="G3" s="7" t="s">
        <v>164</v>
      </c>
      <c r="H3" s="7" t="s">
        <v>179</v>
      </c>
      <c r="I3" s="7" t="s">
        <v>179</v>
      </c>
      <c r="K3" s="8"/>
    </row>
    <row r="4" spans="1:33">
      <c r="A4" s="9" t="s">
        <v>24</v>
      </c>
      <c r="B4" s="60"/>
      <c r="C4" s="10">
        <v>2537.58</v>
      </c>
      <c r="D4" s="10">
        <v>421.85</v>
      </c>
      <c r="E4" s="10">
        <v>18922.759999999998</v>
      </c>
      <c r="F4" s="10">
        <v>0</v>
      </c>
      <c r="G4" s="10">
        <v>3353.16</v>
      </c>
      <c r="H4" s="10">
        <v>919.21</v>
      </c>
      <c r="I4" s="10">
        <v>123.97</v>
      </c>
      <c r="J4" s="11"/>
      <c r="K4" s="11">
        <f>SUM(C4:I4)</f>
        <v>26278.53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2" t="s">
        <v>25</v>
      </c>
      <c r="B5" s="58"/>
      <c r="C5" s="13">
        <v>220.5</v>
      </c>
      <c r="D5" s="13">
        <v>3.5</v>
      </c>
      <c r="E5" s="13">
        <v>878.45</v>
      </c>
      <c r="F5" s="13">
        <v>0</v>
      </c>
      <c r="G5" s="13">
        <v>136.5</v>
      </c>
      <c r="H5" s="13">
        <v>34</v>
      </c>
      <c r="I5" s="13">
        <v>7</v>
      </c>
      <c r="J5" s="11"/>
      <c r="K5" s="11">
        <f>SUM(C5:I5)</f>
        <v>1279.95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spans="1:33">
      <c r="A6" s="12" t="s">
        <v>26</v>
      </c>
      <c r="B6" s="58"/>
      <c r="C6" s="13">
        <v>225.94</v>
      </c>
      <c r="D6" s="13">
        <v>28</v>
      </c>
      <c r="E6" s="13">
        <v>2391.7800000000002</v>
      </c>
      <c r="F6" s="13">
        <v>0</v>
      </c>
      <c r="G6" s="13">
        <v>526.9</v>
      </c>
      <c r="H6" s="13">
        <v>91</v>
      </c>
      <c r="I6" s="13">
        <v>10</v>
      </c>
      <c r="J6" s="11"/>
      <c r="K6" s="11">
        <f>SUM(C6:I6)</f>
        <v>3273.6200000000003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pans="1:33">
      <c r="A7" s="12" t="s">
        <v>56</v>
      </c>
      <c r="B7" s="58"/>
      <c r="C7" s="13">
        <f>C4-C5-C6</f>
        <v>2091.14</v>
      </c>
      <c r="D7" s="13">
        <f>D4-D5-D6</f>
        <v>390.35</v>
      </c>
      <c r="E7" s="13">
        <f>E4-E5-E6</f>
        <v>15652.529999999997</v>
      </c>
      <c r="F7" s="13">
        <f>F4-F5-F6</f>
        <v>0</v>
      </c>
      <c r="G7" s="13">
        <f>G4-G5-G6</f>
        <v>2689.7599999999998</v>
      </c>
      <c r="H7" s="13">
        <f>H4-H5-H6</f>
        <v>794.21</v>
      </c>
      <c r="I7" s="13">
        <f>I4-I5-I6</f>
        <v>106.97</v>
      </c>
      <c r="J7" s="11"/>
      <c r="K7" s="11">
        <f>SUM(C7:I7)</f>
        <v>21724.959999999995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1:33" s="15" customFormat="1" ht="5.45" customHeight="1">
      <c r="A8" s="14"/>
      <c r="B8" s="14"/>
      <c r="C8" s="14"/>
      <c r="D8" s="14"/>
      <c r="E8" s="14"/>
      <c r="F8" s="14"/>
      <c r="G8" s="14"/>
      <c r="H8" s="14"/>
      <c r="I8" s="14"/>
    </row>
    <row r="9" spans="1:33">
      <c r="A9" s="12" t="s">
        <v>28</v>
      </c>
      <c r="B9" s="71"/>
      <c r="C9" s="19">
        <v>33</v>
      </c>
      <c r="D9" s="19">
        <v>3</v>
      </c>
      <c r="E9" s="19">
        <v>170</v>
      </c>
      <c r="F9" s="70" t="s">
        <v>57</v>
      </c>
      <c r="G9" s="19">
        <v>34</v>
      </c>
      <c r="H9" s="19">
        <v>10</v>
      </c>
      <c r="I9" s="19">
        <v>2</v>
      </c>
      <c r="K9" s="22">
        <f>SUM(C9:I9)</f>
        <v>252</v>
      </c>
    </row>
    <row r="10" spans="1:33">
      <c r="A10" s="12" t="s">
        <v>29</v>
      </c>
      <c r="B10" s="69"/>
      <c r="C10" s="13">
        <f>C4/C9</f>
        <v>76.896363636363631</v>
      </c>
      <c r="D10" s="13">
        <f>D4/D9</f>
        <v>140.61666666666667</v>
      </c>
      <c r="E10" s="13">
        <f>E4/E9</f>
        <v>111.31035294117646</v>
      </c>
      <c r="F10" s="61" t="s">
        <v>57</v>
      </c>
      <c r="G10" s="13">
        <f>G4/G9</f>
        <v>98.622352941176473</v>
      </c>
      <c r="H10" s="13">
        <f>H4/H9</f>
        <v>91.921000000000006</v>
      </c>
      <c r="I10" s="13">
        <f>I4/I9</f>
        <v>61.984999999999999</v>
      </c>
      <c r="J10" s="11"/>
      <c r="K10" s="11">
        <f>AVERAGE(C10:I10)</f>
        <v>96.891956030897219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spans="1:33">
      <c r="A11" s="12" t="s">
        <v>30</v>
      </c>
      <c r="B11" s="69"/>
      <c r="C11" s="13">
        <f>(C4-C5)/C9</f>
        <v>70.214545454545458</v>
      </c>
      <c r="D11" s="13">
        <f>(D4-D5)/D9</f>
        <v>139.45000000000002</v>
      </c>
      <c r="E11" s="13">
        <f>(E4-E5)/E9</f>
        <v>106.14299999999999</v>
      </c>
      <c r="F11" s="61" t="s">
        <v>57</v>
      </c>
      <c r="G11" s="13">
        <f>(G4-G5)/G9</f>
        <v>94.607647058823531</v>
      </c>
      <c r="H11" s="13">
        <f>(H4-H5)/H9</f>
        <v>88.521000000000001</v>
      </c>
      <c r="I11" s="13">
        <f>(I4-I5)/I9</f>
        <v>58.484999999999999</v>
      </c>
      <c r="J11" s="11"/>
      <c r="K11" s="11">
        <f>AVERAGE(C11:I11)</f>
        <v>92.903532085561494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1:33" ht="28.9">
      <c r="A12" s="16" t="s">
        <v>31</v>
      </c>
      <c r="B12" s="69"/>
      <c r="C12" s="13">
        <f>(C4-C5-C6)/C9</f>
        <v>63.367878787878787</v>
      </c>
      <c r="D12" s="13">
        <f>(D4-D5-D6)/D9</f>
        <v>130.11666666666667</v>
      </c>
      <c r="E12" s="13">
        <f>(E4-E5-E6)/E9</f>
        <v>92.073705882352925</v>
      </c>
      <c r="F12" s="61" t="s">
        <v>57</v>
      </c>
      <c r="G12" s="13">
        <f>(G4-G5-G6)/G9</f>
        <v>79.110588235294117</v>
      </c>
      <c r="H12" s="13">
        <f>(H4-H5-H6)/H9</f>
        <v>79.421000000000006</v>
      </c>
      <c r="I12" s="13">
        <f>(I4-I5-I6)/I9</f>
        <v>53.484999999999999</v>
      </c>
      <c r="J12" s="11"/>
      <c r="K12" s="11">
        <f>AVERAGE(C12:I12)</f>
        <v>82.929139928698746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1:33" s="15" customFormat="1" ht="5.45" customHeight="1">
      <c r="A13" s="14"/>
      <c r="B13" s="62"/>
      <c r="C13" s="14"/>
      <c r="D13" s="14"/>
      <c r="E13" s="14"/>
      <c r="F13" s="62"/>
      <c r="G13" s="14"/>
      <c r="H13" s="14"/>
      <c r="I13" s="14"/>
    </row>
    <row r="14" spans="1:33" ht="28.9">
      <c r="A14" s="16" t="s">
        <v>32</v>
      </c>
      <c r="B14" s="69"/>
      <c r="C14" s="13">
        <f>C10-C12</f>
        <v>13.528484848484844</v>
      </c>
      <c r="D14" s="13">
        <f>D10-D12</f>
        <v>10.5</v>
      </c>
      <c r="E14" s="13">
        <f>E10-E12</f>
        <v>19.236647058823536</v>
      </c>
      <c r="F14" s="61" t="s">
        <v>57</v>
      </c>
      <c r="G14" s="13">
        <f>G10-G12</f>
        <v>19.511764705882356</v>
      </c>
      <c r="H14" s="13">
        <f>H10-H12</f>
        <v>12.5</v>
      </c>
      <c r="I14" s="13">
        <f>I10-I12</f>
        <v>8.5</v>
      </c>
      <c r="J14" s="11"/>
      <c r="K14" s="11">
        <f>SUM(C14:I14)</f>
        <v>83.776896613190729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spans="1:33" ht="28.9">
      <c r="A15" s="16" t="s">
        <v>33</v>
      </c>
      <c r="B15" s="69"/>
      <c r="C15" s="13">
        <f>C11-C12</f>
        <v>6.8466666666666711</v>
      </c>
      <c r="D15" s="13">
        <f>D11-D12</f>
        <v>9.3333333333333428</v>
      </c>
      <c r="E15" s="13">
        <f>E11-E12</f>
        <v>14.069294117647061</v>
      </c>
      <c r="F15" s="61" t="s">
        <v>57</v>
      </c>
      <c r="G15" s="13">
        <f>G11-G12</f>
        <v>15.497058823529414</v>
      </c>
      <c r="H15" s="13">
        <f>H11-H12</f>
        <v>9.0999999999999943</v>
      </c>
      <c r="I15" s="13">
        <f>I11-I12</f>
        <v>5</v>
      </c>
      <c r="J15" s="11"/>
      <c r="K15" s="11">
        <f>SUM(C15:I15)</f>
        <v>59.846352941176484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7" spans="1:19">
      <c r="A17" s="25" t="s">
        <v>34</v>
      </c>
      <c r="B17" s="25" t="s">
        <v>182</v>
      </c>
      <c r="C17" s="25" t="s">
        <v>172</v>
      </c>
      <c r="D17" s="25" t="s">
        <v>173</v>
      </c>
      <c r="E17" s="25" t="s">
        <v>174</v>
      </c>
      <c r="F17" s="25" t="s">
        <v>175</v>
      </c>
      <c r="G17" s="25" t="s">
        <v>153</v>
      </c>
      <c r="H17" s="25" t="s">
        <v>95</v>
      </c>
      <c r="I17" s="25" t="s">
        <v>96</v>
      </c>
      <c r="K17" s="2"/>
    </row>
    <row r="18" spans="1:19" ht="86.45">
      <c r="A18" s="26" t="s">
        <v>9</v>
      </c>
      <c r="B18" s="27" t="s">
        <v>183</v>
      </c>
      <c r="C18" s="27" t="s">
        <v>176</v>
      </c>
      <c r="D18" s="27" t="s">
        <v>177</v>
      </c>
      <c r="E18" s="27" t="s">
        <v>12</v>
      </c>
      <c r="F18" s="27" t="s">
        <v>184</v>
      </c>
      <c r="G18" s="27" t="s">
        <v>12</v>
      </c>
      <c r="H18" s="27" t="s">
        <v>97</v>
      </c>
      <c r="I18" s="27" t="s">
        <v>103</v>
      </c>
      <c r="K18" s="5"/>
      <c r="S18" s="21"/>
    </row>
    <row r="19" spans="1:19" ht="15" thickBot="1">
      <c r="A19" s="28" t="s">
        <v>17</v>
      </c>
      <c r="B19" s="29" t="s">
        <v>185</v>
      </c>
      <c r="C19" s="29" t="s">
        <v>178</v>
      </c>
      <c r="D19" s="29" t="s">
        <v>179</v>
      </c>
      <c r="E19" s="29" t="s">
        <v>180</v>
      </c>
      <c r="F19" s="29" t="s">
        <v>181</v>
      </c>
      <c r="G19" s="29" t="s">
        <v>164</v>
      </c>
      <c r="H19" s="29" t="s">
        <v>179</v>
      </c>
      <c r="I19" s="29" t="s">
        <v>179</v>
      </c>
      <c r="K19" s="8"/>
    </row>
    <row r="20" spans="1:19" s="17" customFormat="1">
      <c r="A20" s="30" t="s">
        <v>123</v>
      </c>
      <c r="B20" s="31">
        <v>22</v>
      </c>
      <c r="C20" s="31">
        <v>19486.02</v>
      </c>
      <c r="D20" s="31">
        <v>760.73</v>
      </c>
      <c r="E20" s="31">
        <v>95523.42</v>
      </c>
      <c r="F20" s="31">
        <v>167.87</v>
      </c>
      <c r="G20" s="31">
        <v>18127.27</v>
      </c>
      <c r="H20" s="31">
        <v>8287.84</v>
      </c>
      <c r="I20" s="31">
        <v>4645.54</v>
      </c>
      <c r="K20" s="17">
        <f>SUM(B20:I20)</f>
        <v>147020.69</v>
      </c>
    </row>
    <row r="21" spans="1:19" s="20" customFormat="1">
      <c r="A21" s="32" t="s">
        <v>39</v>
      </c>
      <c r="B21" s="33">
        <v>1.14E-2</v>
      </c>
      <c r="C21" s="33">
        <v>0.27829999999999999</v>
      </c>
      <c r="D21" s="33">
        <v>0.26939999999999997</v>
      </c>
      <c r="E21" s="33">
        <v>0.1366</v>
      </c>
      <c r="F21" s="33">
        <v>0.33339999999999997</v>
      </c>
      <c r="G21" s="33">
        <v>0.1724</v>
      </c>
      <c r="H21" s="33" t="s">
        <v>57</v>
      </c>
      <c r="I21" s="33" t="s">
        <v>57</v>
      </c>
      <c r="K21" s="20">
        <f>AVERAGE(B21:I21)</f>
        <v>0.20024999999999996</v>
      </c>
    </row>
    <row r="22" spans="1:19">
      <c r="A22" s="34" t="s">
        <v>40</v>
      </c>
      <c r="B22" s="35">
        <v>1</v>
      </c>
      <c r="C22" s="35">
        <v>338</v>
      </c>
      <c r="D22" s="35">
        <v>13</v>
      </c>
      <c r="E22" s="35">
        <v>1492</v>
      </c>
      <c r="F22" s="35">
        <v>2</v>
      </c>
      <c r="G22" s="35">
        <v>254</v>
      </c>
      <c r="H22" s="35">
        <v>86</v>
      </c>
      <c r="I22" s="35">
        <v>65</v>
      </c>
      <c r="K22" s="50">
        <f>SUM(B22:I22)</f>
        <v>2251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FD02-D50E-4063-8F8C-6C6B5CDB812B}">
  <dimension ref="A1:AH22"/>
  <sheetViews>
    <sheetView zoomScale="74" zoomScaleNormal="74" workbookViewId="0">
      <selection activeCell="A17" sqref="A17:K22"/>
    </sheetView>
  </sheetViews>
  <sheetFormatPr defaultRowHeight="14.45"/>
  <cols>
    <col min="1" max="1" width="30.7109375" customWidth="1"/>
    <col min="2" max="2" width="18.42578125" customWidth="1"/>
    <col min="3" max="3" width="18.7109375" customWidth="1"/>
    <col min="4" max="4" width="22.85546875" customWidth="1"/>
    <col min="5" max="5" width="18.7109375" customWidth="1"/>
    <col min="6" max="6" width="19.42578125" customWidth="1"/>
    <col min="7" max="10" width="18.7109375" customWidth="1"/>
    <col min="11" max="11" width="21.28515625" customWidth="1"/>
    <col min="12" max="12" width="15.85546875" customWidth="1"/>
  </cols>
  <sheetData>
    <row r="1" spans="1:34" s="2" customFormat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172</v>
      </c>
      <c r="I1" s="1" t="s">
        <v>95</v>
      </c>
      <c r="J1" s="1" t="s">
        <v>96</v>
      </c>
      <c r="L1" s="2" t="s">
        <v>8</v>
      </c>
    </row>
    <row r="2" spans="1:34" s="5" customFormat="1" ht="100.9" customHeight="1">
      <c r="A2" s="3" t="s">
        <v>9</v>
      </c>
      <c r="B2" s="18" t="s">
        <v>192</v>
      </c>
      <c r="C2" s="18" t="s">
        <v>12</v>
      </c>
      <c r="D2" s="18" t="s">
        <v>184</v>
      </c>
      <c r="E2" s="18" t="s">
        <v>193</v>
      </c>
      <c r="F2" s="18" t="s">
        <v>194</v>
      </c>
      <c r="G2" s="18" t="s">
        <v>195</v>
      </c>
      <c r="H2" s="18" t="s">
        <v>176</v>
      </c>
      <c r="I2" s="18" t="s">
        <v>97</v>
      </c>
      <c r="J2" s="18" t="s">
        <v>103</v>
      </c>
      <c r="K2" s="4"/>
    </row>
    <row r="3" spans="1:34" s="4" customFormat="1" ht="15" thickBot="1">
      <c r="A3" s="6" t="s">
        <v>17</v>
      </c>
      <c r="B3" s="7" t="s">
        <v>196</v>
      </c>
      <c r="C3" s="7" t="s">
        <v>197</v>
      </c>
      <c r="D3" s="7" t="s">
        <v>197</v>
      </c>
      <c r="E3" s="7" t="s">
        <v>198</v>
      </c>
      <c r="F3" s="7" t="s">
        <v>199</v>
      </c>
      <c r="G3" s="7" t="s">
        <v>200</v>
      </c>
      <c r="H3" s="7" t="s">
        <v>178</v>
      </c>
      <c r="I3" s="7" t="s">
        <v>196</v>
      </c>
      <c r="J3" s="7" t="s">
        <v>196</v>
      </c>
      <c r="L3" s="8"/>
    </row>
    <row r="4" spans="1:34">
      <c r="A4" s="9" t="s">
        <v>24</v>
      </c>
      <c r="B4" s="10">
        <v>8908.9</v>
      </c>
      <c r="C4" s="10">
        <v>12156.13</v>
      </c>
      <c r="D4" s="10">
        <v>4802.47</v>
      </c>
      <c r="E4" s="10">
        <v>0</v>
      </c>
      <c r="F4" s="10">
        <v>0</v>
      </c>
      <c r="G4" s="10">
        <v>27012.74</v>
      </c>
      <c r="H4" s="10">
        <v>2018.89</v>
      </c>
      <c r="I4" s="10">
        <v>138.41</v>
      </c>
      <c r="J4" s="10">
        <v>390.24</v>
      </c>
      <c r="K4" s="11"/>
      <c r="L4" s="11">
        <f>SUM(B4:J4)</f>
        <v>55427.780000000006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</row>
    <row r="5" spans="1:34">
      <c r="A5" s="12" t="s">
        <v>25</v>
      </c>
      <c r="B5" s="13">
        <v>58.8</v>
      </c>
      <c r="C5" s="13">
        <v>478.22</v>
      </c>
      <c r="D5" s="13">
        <v>171.99</v>
      </c>
      <c r="E5" s="13">
        <v>0</v>
      </c>
      <c r="F5" s="13">
        <v>0</v>
      </c>
      <c r="G5" s="13">
        <v>1150.01</v>
      </c>
      <c r="H5" s="13">
        <v>182.5</v>
      </c>
      <c r="I5" s="13">
        <v>9</v>
      </c>
      <c r="J5" s="13">
        <v>21</v>
      </c>
      <c r="K5" s="11"/>
      <c r="L5" s="11">
        <f>SUM(B5:J5)</f>
        <v>2071.52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</row>
    <row r="6" spans="1:34">
      <c r="A6" s="12" t="s">
        <v>26</v>
      </c>
      <c r="B6" s="13">
        <v>1514.33</v>
      </c>
      <c r="C6" s="13">
        <v>1702.91</v>
      </c>
      <c r="D6" s="13">
        <v>594.35</v>
      </c>
      <c r="E6" s="13">
        <v>0</v>
      </c>
      <c r="F6" s="13">
        <v>0</v>
      </c>
      <c r="G6" s="13">
        <v>4306.58</v>
      </c>
      <c r="H6" s="13">
        <v>195.94</v>
      </c>
      <c r="I6" s="13">
        <v>22.99</v>
      </c>
      <c r="J6" s="13">
        <v>30</v>
      </c>
      <c r="K6" s="11"/>
      <c r="L6" s="11">
        <f>SUM(B6:J6)</f>
        <v>8367.1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spans="1:34">
      <c r="A7" s="12" t="s">
        <v>56</v>
      </c>
      <c r="B7" s="13">
        <f>B4-B5-B6</f>
        <v>7335.77</v>
      </c>
      <c r="C7" s="13">
        <f>C4-C5-C6</f>
        <v>9975</v>
      </c>
      <c r="D7" s="13">
        <f>D4-D5-D6</f>
        <v>4036.1300000000006</v>
      </c>
      <c r="E7" s="13">
        <f>E4-E5-E6</f>
        <v>0</v>
      </c>
      <c r="F7" s="13">
        <f>F4-F5-F6</f>
        <v>0</v>
      </c>
      <c r="G7" s="13">
        <f>G4-G5-G6</f>
        <v>21556.15</v>
      </c>
      <c r="H7" s="13">
        <f>H4-H5-H6</f>
        <v>1640.45</v>
      </c>
      <c r="I7" s="13">
        <f>I4-I5-I6</f>
        <v>106.42</v>
      </c>
      <c r="J7" s="13">
        <f>J4-J5-J6</f>
        <v>339.24</v>
      </c>
      <c r="K7" s="11"/>
      <c r="L7" s="11">
        <f>SUM(B7:J7)</f>
        <v>44989.159999999996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 spans="1:34" s="15" customFormat="1" ht="5.45" customHeight="1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34">
      <c r="A9" s="12" t="s">
        <v>28</v>
      </c>
      <c r="B9" s="19">
        <v>102</v>
      </c>
      <c r="C9" s="19">
        <v>134</v>
      </c>
      <c r="D9" s="19">
        <v>35</v>
      </c>
      <c r="E9" s="70" t="s">
        <v>57</v>
      </c>
      <c r="F9" s="70" t="s">
        <v>57</v>
      </c>
      <c r="G9" s="19">
        <v>246</v>
      </c>
      <c r="H9" s="19">
        <v>28</v>
      </c>
      <c r="I9" s="19">
        <v>2</v>
      </c>
      <c r="J9" s="19">
        <v>4</v>
      </c>
      <c r="L9" s="22">
        <f>SUM(B9:J9)</f>
        <v>551</v>
      </c>
    </row>
    <row r="10" spans="1:34">
      <c r="A10" s="12" t="s">
        <v>29</v>
      </c>
      <c r="B10" s="13">
        <f>B4/B9</f>
        <v>87.342156862745099</v>
      </c>
      <c r="C10" s="13">
        <f>C4/C9</f>
        <v>90.717388059701491</v>
      </c>
      <c r="D10" s="13">
        <f>D4/D9</f>
        <v>137.21342857142858</v>
      </c>
      <c r="E10" s="61" t="s">
        <v>57</v>
      </c>
      <c r="F10" s="61" t="s">
        <v>57</v>
      </c>
      <c r="G10" s="13">
        <f>G4/G9</f>
        <v>109.80788617886179</v>
      </c>
      <c r="H10" s="13">
        <f>H4/H9</f>
        <v>72.103214285714287</v>
      </c>
      <c r="I10" s="13">
        <f>I4/I9</f>
        <v>69.204999999999998</v>
      </c>
      <c r="J10" s="13">
        <f>J4/J9</f>
        <v>97.56</v>
      </c>
      <c r="K10" s="11"/>
      <c r="L10" s="11">
        <f>AVERAGE(B10:J10)</f>
        <v>94.849867708350175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>
      <c r="A11" s="12" t="s">
        <v>30</v>
      </c>
      <c r="B11" s="13">
        <f>(B4-B5)/B9</f>
        <v>86.765686274509804</v>
      </c>
      <c r="C11" s="13">
        <f>(C4-C5)/C9</f>
        <v>87.148582089552235</v>
      </c>
      <c r="D11" s="13">
        <f>(D4-D5)/D9</f>
        <v>132.29942857142859</v>
      </c>
      <c r="E11" s="61" t="s">
        <v>57</v>
      </c>
      <c r="F11" s="61" t="s">
        <v>57</v>
      </c>
      <c r="G11" s="13">
        <f>(G4-G5)/G9</f>
        <v>105.13304878048781</v>
      </c>
      <c r="H11" s="13">
        <f>(H4-H5)/H9</f>
        <v>65.585357142857148</v>
      </c>
      <c r="I11" s="13">
        <f>(I4-I5)/I9</f>
        <v>64.704999999999998</v>
      </c>
      <c r="J11" s="13">
        <f>(J4-J5)/J9</f>
        <v>92.31</v>
      </c>
      <c r="K11" s="11"/>
      <c r="L11" s="11">
        <f>AVERAGE(B11:J11)</f>
        <v>90.563871836976503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28.9">
      <c r="A12" s="16" t="s">
        <v>31</v>
      </c>
      <c r="B12" s="13">
        <f>(B4-B5-B6)/B9</f>
        <v>71.919313725490198</v>
      </c>
      <c r="C12" s="13">
        <f>(C4-C5-C6)/C9</f>
        <v>74.440298507462686</v>
      </c>
      <c r="D12" s="13">
        <f>(D4-D5-D6)/D9</f>
        <v>115.31800000000001</v>
      </c>
      <c r="E12" s="61" t="s">
        <v>57</v>
      </c>
      <c r="F12" s="61" t="s">
        <v>57</v>
      </c>
      <c r="G12" s="13">
        <f>(G4-G5-G6)/G9</f>
        <v>87.626626016260175</v>
      </c>
      <c r="H12" s="13">
        <f>(H4-H5-H6)/H9</f>
        <v>58.587499999999999</v>
      </c>
      <c r="I12" s="13">
        <f>(I4-I5-I6)/I9</f>
        <v>53.21</v>
      </c>
      <c r="J12" s="13">
        <f>(J4-J5-J6)/J9</f>
        <v>84.81</v>
      </c>
      <c r="K12" s="11"/>
      <c r="L12" s="11">
        <f>AVERAGE(B12:J12)</f>
        <v>77.987391178459006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s="15" customFormat="1" ht="5.45" customHeight="1">
      <c r="A13" s="14"/>
      <c r="B13" s="14"/>
      <c r="C13" s="14"/>
      <c r="D13" s="14"/>
      <c r="E13" s="62"/>
      <c r="F13" s="62"/>
      <c r="G13" s="14"/>
      <c r="H13" s="14"/>
      <c r="I13" s="14"/>
      <c r="J13" s="14"/>
    </row>
    <row r="14" spans="1:34" ht="28.9">
      <c r="A14" s="16" t="s">
        <v>32</v>
      </c>
      <c r="B14" s="13">
        <f>B10-B12</f>
        <v>15.422843137254901</v>
      </c>
      <c r="C14" s="13">
        <f>C10-C12</f>
        <v>16.277089552238806</v>
      </c>
      <c r="D14" s="13">
        <f>D10-D12</f>
        <v>21.895428571428567</v>
      </c>
      <c r="E14" s="61" t="s">
        <v>57</v>
      </c>
      <c r="F14" s="61" t="s">
        <v>57</v>
      </c>
      <c r="G14" s="13">
        <f>G10-G12</f>
        <v>22.181260162601617</v>
      </c>
      <c r="H14" s="13">
        <f>H10-H12</f>
        <v>13.515714285714289</v>
      </c>
      <c r="I14" s="13">
        <f>I10-I12</f>
        <v>15.994999999999997</v>
      </c>
      <c r="J14" s="13">
        <f>J10-J12</f>
        <v>12.75</v>
      </c>
      <c r="K14" s="11"/>
      <c r="L14" s="11">
        <f>SUM(B14:J14)</f>
        <v>118.03733570923819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28.9">
      <c r="A15" s="16" t="s">
        <v>33</v>
      </c>
      <c r="B15" s="13">
        <f>B11-B12</f>
        <v>14.846372549019605</v>
      </c>
      <c r="C15" s="13">
        <f>C11-C12</f>
        <v>12.70828358208955</v>
      </c>
      <c r="D15" s="13">
        <f>D11-D12</f>
        <v>16.98142857142858</v>
      </c>
      <c r="E15" s="61" t="s">
        <v>57</v>
      </c>
      <c r="F15" s="61" t="s">
        <v>57</v>
      </c>
      <c r="G15" s="13">
        <f>G11-G12</f>
        <v>17.506422764227636</v>
      </c>
      <c r="H15" s="13">
        <f>H11-H12</f>
        <v>6.9978571428571499</v>
      </c>
      <c r="I15" s="13">
        <f>I11-I12</f>
        <v>11.494999999999997</v>
      </c>
      <c r="J15" s="13">
        <f>J11-J12</f>
        <v>7.5</v>
      </c>
      <c r="K15" s="11"/>
      <c r="L15" s="11">
        <f>SUM(B15:J15)</f>
        <v>88.035364609622519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7" spans="1:20">
      <c r="A17" s="25" t="s">
        <v>34</v>
      </c>
      <c r="B17" s="25" t="s">
        <v>186</v>
      </c>
      <c r="C17" s="25" t="s">
        <v>187</v>
      </c>
      <c r="D17" s="25"/>
      <c r="E17" s="25" t="s">
        <v>189</v>
      </c>
      <c r="F17" s="25" t="s">
        <v>190</v>
      </c>
      <c r="G17" s="25" t="s">
        <v>191</v>
      </c>
      <c r="H17" s="25" t="s">
        <v>172</v>
      </c>
      <c r="I17" s="25" t="s">
        <v>95</v>
      </c>
      <c r="J17" s="25" t="s">
        <v>96</v>
      </c>
      <c r="K17" s="25" t="s">
        <v>182</v>
      </c>
      <c r="L17" s="2"/>
    </row>
    <row r="18" spans="1:20" ht="86.45">
      <c r="A18" s="26" t="s">
        <v>9</v>
      </c>
      <c r="B18" s="27" t="s">
        <v>192</v>
      </c>
      <c r="C18" s="27" t="s">
        <v>12</v>
      </c>
      <c r="D18" s="27"/>
      <c r="E18" s="27" t="s">
        <v>193</v>
      </c>
      <c r="F18" s="27" t="s">
        <v>194</v>
      </c>
      <c r="G18" s="27" t="s">
        <v>195</v>
      </c>
      <c r="H18" s="27" t="s">
        <v>176</v>
      </c>
      <c r="I18" s="27" t="s">
        <v>97</v>
      </c>
      <c r="J18" s="27" t="s">
        <v>103</v>
      </c>
      <c r="K18" s="27" t="s">
        <v>183</v>
      </c>
      <c r="L18" s="5"/>
      <c r="T18" s="21"/>
    </row>
    <row r="19" spans="1:20" ht="15" thickBot="1">
      <c r="A19" s="28" t="s">
        <v>17</v>
      </c>
      <c r="B19" s="29" t="s">
        <v>196</v>
      </c>
      <c r="C19" s="29" t="s">
        <v>197</v>
      </c>
      <c r="D19" s="29"/>
      <c r="E19" s="29" t="s">
        <v>198</v>
      </c>
      <c r="F19" s="29" t="s">
        <v>199</v>
      </c>
      <c r="G19" s="29" t="s">
        <v>200</v>
      </c>
      <c r="H19" s="29" t="s">
        <v>178</v>
      </c>
      <c r="I19" s="29" t="s">
        <v>196</v>
      </c>
      <c r="J19" s="29" t="s">
        <v>196</v>
      </c>
      <c r="K19" s="29" t="s">
        <v>185</v>
      </c>
      <c r="L19" s="8"/>
    </row>
    <row r="20" spans="1:20" s="17" customFormat="1">
      <c r="A20" s="30" t="s">
        <v>123</v>
      </c>
      <c r="B20" s="31">
        <v>8936.74</v>
      </c>
      <c r="C20" s="31">
        <v>86658.43</v>
      </c>
      <c r="D20" s="31"/>
      <c r="E20" s="31">
        <v>57.95</v>
      </c>
      <c r="F20" s="31">
        <v>22</v>
      </c>
      <c r="G20" s="31">
        <v>89651.5</v>
      </c>
      <c r="H20" s="31">
        <v>12407.06</v>
      </c>
      <c r="I20" s="31">
        <v>5409.18</v>
      </c>
      <c r="J20" s="31">
        <v>4169.68</v>
      </c>
      <c r="K20" s="31">
        <v>849.29</v>
      </c>
      <c r="L20" s="17">
        <f>SUM(B20:K20)</f>
        <v>208161.83</v>
      </c>
    </row>
    <row r="21" spans="1:20" s="20" customFormat="1">
      <c r="A21" s="32" t="s">
        <v>39</v>
      </c>
      <c r="B21" s="33">
        <v>0.1502</v>
      </c>
      <c r="C21" s="33">
        <v>0.14860000000000001</v>
      </c>
      <c r="D21" s="33"/>
      <c r="E21" s="33">
        <v>0.33789999999999998</v>
      </c>
      <c r="F21" s="33">
        <v>1.14E-2</v>
      </c>
      <c r="G21" s="33">
        <v>0.1578</v>
      </c>
      <c r="H21" s="33">
        <v>0.27529999999999999</v>
      </c>
      <c r="I21" s="33" t="s">
        <v>57</v>
      </c>
      <c r="J21" s="33" t="s">
        <v>57</v>
      </c>
      <c r="K21" s="33">
        <v>0.28639999999999999</v>
      </c>
      <c r="L21" s="20">
        <f>AVERAGE(B21:K21)</f>
        <v>0.19537142857142856</v>
      </c>
    </row>
    <row r="22" spans="1:20">
      <c r="A22" s="34" t="s">
        <v>40</v>
      </c>
      <c r="B22" s="35">
        <v>99</v>
      </c>
      <c r="C22" s="35">
        <v>1271</v>
      </c>
      <c r="D22" s="35"/>
      <c r="E22" s="35">
        <v>1</v>
      </c>
      <c r="F22" s="35">
        <v>1</v>
      </c>
      <c r="G22" s="35">
        <v>1005</v>
      </c>
      <c r="H22" s="35">
        <v>233</v>
      </c>
      <c r="I22" s="35">
        <v>56</v>
      </c>
      <c r="J22" s="35">
        <v>53</v>
      </c>
      <c r="K22" s="35">
        <v>1</v>
      </c>
      <c r="L22" s="50">
        <f>SUM(B22:K22)</f>
        <v>2720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3515-A3C0-4AFD-B730-B2574BA3B09B}">
  <dimension ref="A1:AC22"/>
  <sheetViews>
    <sheetView tabSelected="1" zoomScale="74" zoomScaleNormal="74" workbookViewId="0">
      <selection activeCell="A17" sqref="A17:E22"/>
    </sheetView>
  </sheetViews>
  <sheetFormatPr defaultRowHeight="14.45"/>
  <cols>
    <col min="1" max="1" width="30.7109375" customWidth="1"/>
    <col min="2" max="2" width="18.42578125" customWidth="1"/>
    <col min="3" max="5" width="18.7109375" customWidth="1"/>
    <col min="7" max="7" width="15.85546875" customWidth="1"/>
  </cols>
  <sheetData>
    <row r="1" spans="1:29" s="2" customFormat="1">
      <c r="A1" s="1" t="s">
        <v>0</v>
      </c>
      <c r="B1" s="1" t="s">
        <v>201</v>
      </c>
      <c r="C1" s="1" t="s">
        <v>202</v>
      </c>
      <c r="D1" s="1" t="s">
        <v>95</v>
      </c>
      <c r="E1" s="1" t="s">
        <v>96</v>
      </c>
      <c r="G1" s="2" t="s">
        <v>8</v>
      </c>
    </row>
    <row r="2" spans="1:29" s="5" customFormat="1" ht="100.9" customHeight="1">
      <c r="A2" s="3" t="s">
        <v>9</v>
      </c>
      <c r="B2" s="18" t="s">
        <v>203</v>
      </c>
      <c r="C2" s="18" t="s">
        <v>12</v>
      </c>
      <c r="D2" s="18" t="s">
        <v>97</v>
      </c>
      <c r="E2" s="18" t="s">
        <v>103</v>
      </c>
      <c r="F2" s="4"/>
    </row>
    <row r="3" spans="1:29" s="4" customFormat="1" ht="15" thickBot="1">
      <c r="A3" s="6" t="s">
        <v>17</v>
      </c>
      <c r="B3" s="7" t="s">
        <v>204</v>
      </c>
      <c r="C3" s="7" t="s">
        <v>205</v>
      </c>
      <c r="D3" s="7" t="s">
        <v>206</v>
      </c>
      <c r="E3" s="7" t="s">
        <v>206</v>
      </c>
      <c r="G3" s="8"/>
    </row>
    <row r="4" spans="1:29">
      <c r="A4" s="9" t="s">
        <v>24</v>
      </c>
      <c r="B4" s="10">
        <v>0</v>
      </c>
      <c r="C4" s="10">
        <v>14401.41</v>
      </c>
      <c r="D4" s="10">
        <v>119.94</v>
      </c>
      <c r="E4" s="10">
        <v>461.62</v>
      </c>
      <c r="F4" s="11"/>
      <c r="G4" s="11">
        <f>SUM(B4:C4)</f>
        <v>14401.41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>
      <c r="A5" s="12" t="s">
        <v>25</v>
      </c>
      <c r="B5" s="13">
        <v>0</v>
      </c>
      <c r="C5" s="13">
        <v>733.95</v>
      </c>
      <c r="D5" s="13">
        <v>2</v>
      </c>
      <c r="E5" s="13">
        <v>12</v>
      </c>
      <c r="F5" s="11"/>
      <c r="G5" s="11">
        <f>SUM(B5:C5)</f>
        <v>733.95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>
      <c r="A6" s="12" t="s">
        <v>26</v>
      </c>
      <c r="B6" s="13">
        <v>0</v>
      </c>
      <c r="C6" s="13">
        <v>2072.5500000000002</v>
      </c>
      <c r="D6" s="13">
        <v>5</v>
      </c>
      <c r="E6" s="13">
        <v>52</v>
      </c>
      <c r="F6" s="11"/>
      <c r="G6" s="11">
        <f>SUM(B6:C6)</f>
        <v>2072.5500000000002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>
      <c r="A7" s="12" t="s">
        <v>56</v>
      </c>
      <c r="B7" s="13">
        <f>B4-B5-B6</f>
        <v>0</v>
      </c>
      <c r="C7" s="13">
        <f>C4-C5-C6</f>
        <v>11594.91</v>
      </c>
      <c r="D7" s="13">
        <f>D4-D5-D6</f>
        <v>112.94</v>
      </c>
      <c r="E7" s="13">
        <f>E4-E5-E6</f>
        <v>397.62</v>
      </c>
      <c r="F7" s="11"/>
      <c r="G7" s="11">
        <f>SUM(B7:C7)</f>
        <v>11594.91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s="15" customFormat="1" ht="5.45" customHeight="1">
      <c r="A8" s="14"/>
      <c r="B8" s="14"/>
      <c r="C8" s="14"/>
      <c r="D8" s="14"/>
      <c r="E8" s="14"/>
    </row>
    <row r="9" spans="1:29">
      <c r="A9" s="12" t="s">
        <v>28</v>
      </c>
      <c r="B9" s="70" t="s">
        <v>57</v>
      </c>
      <c r="C9" s="19">
        <v>146</v>
      </c>
      <c r="D9" s="19">
        <v>1</v>
      </c>
      <c r="E9" s="19">
        <v>2</v>
      </c>
      <c r="G9">
        <f>SUM(B9:C9)</f>
        <v>146</v>
      </c>
    </row>
    <row r="10" spans="1:29">
      <c r="A10" s="12" t="s">
        <v>29</v>
      </c>
      <c r="B10" s="61" t="s">
        <v>57</v>
      </c>
      <c r="C10" s="13">
        <f>C4/C9</f>
        <v>98.639794520547937</v>
      </c>
      <c r="D10" s="13">
        <f>D4/D9</f>
        <v>119.94</v>
      </c>
      <c r="E10" s="13">
        <f>E4/E9</f>
        <v>230.81</v>
      </c>
      <c r="F10" s="11"/>
      <c r="G10" s="11">
        <f>AVERAGE(B10:C10)</f>
        <v>98.639794520547937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>
      <c r="A11" s="12" t="s">
        <v>30</v>
      </c>
      <c r="B11" s="61" t="s">
        <v>57</v>
      </c>
      <c r="C11" s="13">
        <f>(C4-C5)/C9</f>
        <v>93.612739726027385</v>
      </c>
      <c r="D11" s="13">
        <f>(D4-D5)/D9</f>
        <v>117.94</v>
      </c>
      <c r="E11" s="13">
        <f>(E4-E5)/E9</f>
        <v>224.81</v>
      </c>
      <c r="F11" s="11"/>
      <c r="G11" s="11">
        <f>AVERAGE(B11:C11)</f>
        <v>93.612739726027385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ht="28.9">
      <c r="A12" s="16" t="s">
        <v>31</v>
      </c>
      <c r="B12" s="61" t="s">
        <v>57</v>
      </c>
      <c r="C12" s="13">
        <f>(C4-C5-C6)/C9</f>
        <v>79.417191780821923</v>
      </c>
      <c r="D12" s="13">
        <f>(D4-D5-D6)/D9</f>
        <v>112.94</v>
      </c>
      <c r="E12" s="13">
        <f>(E4-E5-E6)/E9</f>
        <v>198.81</v>
      </c>
      <c r="F12" s="11"/>
      <c r="G12" s="11">
        <f>AVERAGE(B12:C12)</f>
        <v>79.417191780821923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1:29" s="15" customFormat="1" ht="5.45" customHeight="1">
      <c r="A13" s="14"/>
      <c r="B13" s="62"/>
      <c r="C13" s="14"/>
      <c r="D13" s="14"/>
      <c r="E13" s="14"/>
    </row>
    <row r="14" spans="1:29" ht="28.9">
      <c r="A14" s="16" t="s">
        <v>32</v>
      </c>
      <c r="B14" s="61" t="s">
        <v>57</v>
      </c>
      <c r="C14" s="13">
        <f>C10-C12</f>
        <v>19.222602739726014</v>
      </c>
      <c r="D14" s="13">
        <f>D10-D12</f>
        <v>7</v>
      </c>
      <c r="E14" s="13">
        <f>E10-E12</f>
        <v>32</v>
      </c>
      <c r="F14" s="11"/>
      <c r="G14" s="11">
        <f>SUM(B14:C14)</f>
        <v>19.222602739726014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 ht="28.9">
      <c r="A15" s="16" t="s">
        <v>33</v>
      </c>
      <c r="B15" s="61" t="s">
        <v>57</v>
      </c>
      <c r="C15" s="13">
        <f>C11-C12</f>
        <v>14.195547945205462</v>
      </c>
      <c r="D15" s="13">
        <f>D11-D12</f>
        <v>5</v>
      </c>
      <c r="E15" s="13">
        <f>E11-E12</f>
        <v>26</v>
      </c>
      <c r="F15" s="11"/>
      <c r="G15" s="11">
        <f>SUM(B15:C15)</f>
        <v>14.195547945205462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7" spans="1:15">
      <c r="A17" s="25" t="s">
        <v>34</v>
      </c>
      <c r="B17" s="25" t="s">
        <v>201</v>
      </c>
      <c r="C17" s="25" t="s">
        <v>202</v>
      </c>
      <c r="D17" s="25" t="s">
        <v>95</v>
      </c>
      <c r="E17" s="25" t="s">
        <v>96</v>
      </c>
      <c r="G17" s="2"/>
    </row>
    <row r="18" spans="1:15" ht="57.6">
      <c r="A18" s="26" t="s">
        <v>9</v>
      </c>
      <c r="B18" s="27" t="s">
        <v>203</v>
      </c>
      <c r="C18" s="27" t="s">
        <v>12</v>
      </c>
      <c r="D18" s="27" t="s">
        <v>97</v>
      </c>
      <c r="E18" s="27" t="s">
        <v>103</v>
      </c>
      <c r="G18" s="5"/>
      <c r="O18" s="21"/>
    </row>
    <row r="19" spans="1:15" ht="15" thickBot="1">
      <c r="A19" s="28" t="s">
        <v>17</v>
      </c>
      <c r="B19" s="29" t="s">
        <v>204</v>
      </c>
      <c r="C19" s="29" t="s">
        <v>205</v>
      </c>
      <c r="D19" s="29" t="s">
        <v>206</v>
      </c>
      <c r="E19" s="29" t="s">
        <v>206</v>
      </c>
      <c r="G19" s="8"/>
    </row>
    <row r="20" spans="1:15" s="17" customFormat="1">
      <c r="A20" s="30" t="s">
        <v>123</v>
      </c>
      <c r="B20" s="31">
        <v>241.62</v>
      </c>
      <c r="C20" s="31">
        <v>89319.6</v>
      </c>
      <c r="D20" s="31">
        <v>0</v>
      </c>
      <c r="E20" s="31">
        <v>0</v>
      </c>
      <c r="G20" s="17">
        <f>SUM(B20:C20)</f>
        <v>89561.22</v>
      </c>
    </row>
    <row r="21" spans="1:15" s="20" customFormat="1">
      <c r="A21" s="32" t="s">
        <v>39</v>
      </c>
      <c r="B21" s="33">
        <v>0.21870000000000001</v>
      </c>
      <c r="C21" s="33">
        <v>0.15040000000000001</v>
      </c>
      <c r="D21" s="33">
        <v>0</v>
      </c>
      <c r="E21" s="33">
        <v>0</v>
      </c>
      <c r="G21" s="20">
        <f>AVERAGE(B21:C21)</f>
        <v>0.18454999999999999</v>
      </c>
    </row>
    <row r="22" spans="1:15">
      <c r="A22" s="34" t="s">
        <v>40</v>
      </c>
      <c r="B22" s="35">
        <v>5</v>
      </c>
      <c r="C22" s="35">
        <v>1320</v>
      </c>
      <c r="D22" s="35">
        <v>0</v>
      </c>
      <c r="E22" s="35">
        <v>0</v>
      </c>
      <c r="G22" s="50">
        <f>SUM(B22:C22)</f>
        <v>1325</v>
      </c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36FCFC3800084F925CBDE9DDE5AFD9" ma:contentTypeVersion="20" ma:contentTypeDescription="Create a new document." ma:contentTypeScope="" ma:versionID="1224b4e3ebea9c7aa674792b869495f9">
  <xsd:schema xmlns:xsd="http://www.w3.org/2001/XMLSchema" xmlns:xs="http://www.w3.org/2001/XMLSchema" xmlns:p="http://schemas.microsoft.com/office/2006/metadata/properties" xmlns:ns1="http://schemas.microsoft.com/sharepoint/v3" xmlns:ns2="ff101762-23d1-4ba0-9cbe-7a45c59d2c20" xmlns:ns3="aec28e0a-ab32-4f87-a753-0b9a60fcea8a" xmlns:ns4="e977b2b5-3911-4478-b2ae-72d10252f2ad" targetNamespace="http://schemas.microsoft.com/office/2006/metadata/properties" ma:root="true" ma:fieldsID="72d68fb9ea6ec6eb01fc5a721def560b" ns1:_="" ns2:_="" ns3:_="" ns4:_="">
    <xsd:import namespace="http://schemas.microsoft.com/sharepoint/v3"/>
    <xsd:import namespace="ff101762-23d1-4ba0-9cbe-7a45c59d2c20"/>
    <xsd:import namespace="aec28e0a-ab32-4f87-a753-0b9a60fcea8a"/>
    <xsd:import namespace="e977b2b5-3911-4478-b2ae-72d10252f2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1:LikesCount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1:_ip_UnifiedCompliancePolicyProperties" minOccurs="0"/>
                <xsd:element ref="ns1:_ip_UnifiedCompliancePolicyUIAction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  <xsd:element ref="ns4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11" nillable="true" ma:displayName="Number of Likes" ma:internalName="LikesCount">
      <xsd:simpleType>
        <xsd:restriction base="dms:Unknown"/>
      </xsd:simpleType>
    </xsd:element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01762-23d1-4ba0-9cbe-7a45c59d2c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28e0a-ab32-4f87-a753-0b9a60fcea8a" elementFormDefault="qualified">
    <xsd:import namespace="http://schemas.microsoft.com/office/2006/documentManagement/types"/>
    <xsd:import namespace="http://schemas.microsoft.com/office/infopath/2007/PartnerControls"/>
    <xsd:element name="LastSharedByUser" ma:index="12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3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31" nillable="true" ma:displayName="Taxonomy Catch All Column" ma:hidden="true" ma:list="{91c5a65a-e816-45e1-ae98-53b72d7d2d0a}" ma:internalName="TaxCatchAll" ma:showField="CatchAllData" ma:web="aec28e0a-ab32-4f87-a753-0b9a60fcea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77b2b5-3911-4478-b2ae-72d10252f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6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cd2f6036-0c38-4e64-9a14-852f306418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e977b2b5-3911-4478-b2ae-72d10252f2ad">
      <Terms xmlns="http://schemas.microsoft.com/office/infopath/2007/PartnerControls"/>
    </lcf76f155ced4ddcb4097134ff3c332f>
    <TaxCatchAll xmlns="aec28e0a-ab32-4f87-a753-0b9a60fcea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D86886-5521-472D-8B44-7D16930D1C7E}"/>
</file>

<file path=customXml/itemProps2.xml><?xml version="1.0" encoding="utf-8"?>
<ds:datastoreItem xmlns:ds="http://schemas.openxmlformats.org/officeDocument/2006/customXml" ds:itemID="{E82197F4-2D1B-4A13-A819-CAB101921146}"/>
</file>

<file path=customXml/itemProps3.xml><?xml version="1.0" encoding="utf-8"?>
<ds:datastoreItem xmlns:ds="http://schemas.openxmlformats.org/officeDocument/2006/customXml" ds:itemID="{9BC911B1-FB94-4092-A5B1-FC6F7B193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Hanzelko, Tim</dc:creator>
  <cp:keywords/>
  <dc:description/>
  <cp:lastModifiedBy>Kersey, Courtney</cp:lastModifiedBy>
  <cp:revision/>
  <dcterms:created xsi:type="dcterms:W3CDTF">2021-08-06T14:22:02Z</dcterms:created>
  <dcterms:modified xsi:type="dcterms:W3CDTF">2024-03-26T21:08:11Z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0x010100B936FCFC3800084F925CBDE9DDE5AFD9</vt:lpwstr>
  </property>
</Properties>
</file>