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cfws.sharepoint.com/marketing/Shared Team Documents/Reporting/Promotions/ABC Promotions/"/>
    </mc:Choice>
  </mc:AlternateContent>
  <xr:revisionPtr revIDLastSave="721" documentId="8_{B2B16083-94ED-4D0E-84AB-422CFC7A9BEB}" xr6:coauthVersionLast="47" xr6:coauthVersionMax="47" xr10:uidLastSave="{73A07CC6-3CD7-48AD-839A-1AF959A126CC}"/>
  <bookViews>
    <workbookView xWindow="380" yWindow="380" windowWidth="22856" windowHeight="14151" firstSheet="1" activeTab="1" xr2:uid="{7B7B8701-3173-42C6-8A70-14DB2644476F}"/>
  </bookViews>
  <sheets>
    <sheet name="Summary" sheetId="15" r:id="rId1"/>
    <sheet name="Dec 2025" sheetId="26" r:id="rId2"/>
    <sheet name="Nov 2025" sheetId="25" r:id="rId3"/>
    <sheet name="Oct 2025" sheetId="24" r:id="rId4"/>
    <sheet name="Sept 2025" sheetId="23" r:id="rId5"/>
    <sheet name="Aug 2025" sheetId="22" r:id="rId6"/>
    <sheet name="July 2025" sheetId="21" r:id="rId7"/>
    <sheet name="June 2025" sheetId="20" r:id="rId8"/>
    <sheet name="May 2025" sheetId="19" r:id="rId9"/>
    <sheet name="April 2025" sheetId="18" r:id="rId10"/>
    <sheet name="Mar 2025" sheetId="17" r:id="rId11"/>
    <sheet name="Feb 2025" sheetId="16" r:id="rId12"/>
    <sheet name="Jan 2025" sheetId="12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5" l="1"/>
  <c r="M18" i="15"/>
  <c r="M14" i="15"/>
  <c r="M13" i="15"/>
  <c r="M17" i="15" s="1"/>
  <c r="M12" i="15"/>
  <c r="M16" i="15" s="1"/>
  <c r="M9" i="15"/>
  <c r="D8" i="26"/>
  <c r="D11" i="26"/>
  <c r="D12" i="26"/>
  <c r="D13" i="26"/>
  <c r="D15" i="26"/>
  <c r="D16" i="26"/>
  <c r="D17" i="26"/>
  <c r="D26" i="26"/>
  <c r="G26" i="26"/>
  <c r="G16" i="26"/>
  <c r="G15" i="26"/>
  <c r="G8" i="26"/>
  <c r="H26" i="26"/>
  <c r="F26" i="26"/>
  <c r="E26" i="26"/>
  <c r="C26" i="26"/>
  <c r="B26" i="26"/>
  <c r="J25" i="26"/>
  <c r="J24" i="26"/>
  <c r="J23" i="26"/>
  <c r="J22" i="26"/>
  <c r="J26" i="26" s="1"/>
  <c r="F17" i="26"/>
  <c r="E17" i="26"/>
  <c r="C17" i="26"/>
  <c r="B17" i="26"/>
  <c r="H16" i="26"/>
  <c r="H15" i="26"/>
  <c r="F13" i="26"/>
  <c r="E13" i="26"/>
  <c r="C13" i="26"/>
  <c r="B13" i="26"/>
  <c r="J13" i="26" s="1"/>
  <c r="F12" i="26"/>
  <c r="F16" i="26" s="1"/>
  <c r="E12" i="26"/>
  <c r="E16" i="26" s="1"/>
  <c r="C12" i="26"/>
  <c r="C16" i="26" s="1"/>
  <c r="B12" i="26"/>
  <c r="F11" i="26"/>
  <c r="F15" i="26" s="1"/>
  <c r="E11" i="26"/>
  <c r="E15" i="26" s="1"/>
  <c r="C11" i="26"/>
  <c r="C15" i="26" s="1"/>
  <c r="B11" i="26"/>
  <c r="J10" i="26"/>
  <c r="H8" i="26"/>
  <c r="F8" i="26"/>
  <c r="E8" i="26"/>
  <c r="C8" i="26"/>
  <c r="B8" i="26"/>
  <c r="J8" i="26" s="1"/>
  <c r="J7" i="26"/>
  <c r="J6" i="26"/>
  <c r="J5" i="26"/>
  <c r="J4" i="26"/>
  <c r="J17" i="26" s="1"/>
  <c r="L27" i="15"/>
  <c r="L18" i="15"/>
  <c r="L14" i="15"/>
  <c r="L13" i="15"/>
  <c r="L17" i="15" s="1"/>
  <c r="L12" i="15"/>
  <c r="L16" i="15" s="1"/>
  <c r="L9" i="15"/>
  <c r="D8" i="25"/>
  <c r="E8" i="25"/>
  <c r="F8" i="25"/>
  <c r="D11" i="25"/>
  <c r="E11" i="25"/>
  <c r="D12" i="25"/>
  <c r="E12" i="25"/>
  <c r="D13" i="25"/>
  <c r="E13" i="25"/>
  <c r="D15" i="25"/>
  <c r="E15" i="25"/>
  <c r="F15" i="25"/>
  <c r="D16" i="25"/>
  <c r="E16" i="25"/>
  <c r="F16" i="25"/>
  <c r="D17" i="25"/>
  <c r="E17" i="25"/>
  <c r="C26" i="25"/>
  <c r="D26" i="25"/>
  <c r="E26" i="25"/>
  <c r="F26" i="25"/>
  <c r="B26" i="25"/>
  <c r="H25" i="25"/>
  <c r="H24" i="25"/>
  <c r="H23" i="25"/>
  <c r="H22" i="25"/>
  <c r="H26" i="25" s="1"/>
  <c r="C17" i="25"/>
  <c r="B17" i="25"/>
  <c r="C13" i="25"/>
  <c r="B13" i="25"/>
  <c r="H13" i="25" s="1"/>
  <c r="C12" i="25"/>
  <c r="C16" i="25" s="1"/>
  <c r="B12" i="25"/>
  <c r="C11" i="25"/>
  <c r="C15" i="25" s="1"/>
  <c r="B11" i="25"/>
  <c r="H10" i="25"/>
  <c r="C8" i="25"/>
  <c r="B8" i="25"/>
  <c r="H8" i="25" s="1"/>
  <c r="H7" i="25"/>
  <c r="H6" i="25"/>
  <c r="H5" i="25"/>
  <c r="H4" i="25"/>
  <c r="H17" i="25" s="1"/>
  <c r="J27" i="15"/>
  <c r="K27" i="15"/>
  <c r="K18" i="15"/>
  <c r="K14" i="15"/>
  <c r="K13" i="15"/>
  <c r="K17" i="15" s="1"/>
  <c r="K12" i="15"/>
  <c r="K16" i="15" s="1"/>
  <c r="K9" i="15"/>
  <c r="F55" i="15"/>
  <c r="F46" i="15"/>
  <c r="F42" i="15"/>
  <c r="F41" i="15"/>
  <c r="F45" i="15" s="1"/>
  <c r="F40" i="15"/>
  <c r="F44" i="15" s="1"/>
  <c r="F37" i="15"/>
  <c r="C8" i="24"/>
  <c r="C11" i="24"/>
  <c r="C12" i="24"/>
  <c r="C13" i="24"/>
  <c r="C15" i="24"/>
  <c r="C16" i="24"/>
  <c r="C17" i="24"/>
  <c r="D26" i="24"/>
  <c r="B26" i="24"/>
  <c r="F25" i="24"/>
  <c r="F24" i="24"/>
  <c r="F23" i="24"/>
  <c r="D17" i="24"/>
  <c r="B17" i="24"/>
  <c r="D13" i="24"/>
  <c r="B13" i="24"/>
  <c r="F13" i="24" s="1"/>
  <c r="D12" i="24"/>
  <c r="D16" i="24" s="1"/>
  <c r="B12" i="24"/>
  <c r="D11" i="24"/>
  <c r="D15" i="24" s="1"/>
  <c r="B11" i="24"/>
  <c r="F10" i="24"/>
  <c r="D8" i="24"/>
  <c r="B8" i="24"/>
  <c r="F8" i="24" s="1"/>
  <c r="F7" i="24"/>
  <c r="F6" i="24"/>
  <c r="F5" i="24"/>
  <c r="F4" i="24"/>
  <c r="F17" i="24" s="1"/>
  <c r="J18" i="15"/>
  <c r="J14" i="15"/>
  <c r="J13" i="15"/>
  <c r="J17" i="15" s="1"/>
  <c r="J12" i="15"/>
  <c r="J16" i="15" s="1"/>
  <c r="J9" i="15"/>
  <c r="E22" i="23"/>
  <c r="G4" i="23"/>
  <c r="D17" i="23"/>
  <c r="D13" i="23"/>
  <c r="D12" i="23"/>
  <c r="D16" i="23" s="1"/>
  <c r="D11" i="23"/>
  <c r="D15" i="23" s="1"/>
  <c r="D8" i="23"/>
  <c r="C26" i="23"/>
  <c r="E26" i="23"/>
  <c r="D26" i="23"/>
  <c r="B26" i="23"/>
  <c r="G25" i="23"/>
  <c r="G24" i="23"/>
  <c r="G23" i="23"/>
  <c r="G22" i="23"/>
  <c r="G26" i="23" s="1"/>
  <c r="E17" i="23"/>
  <c r="C17" i="23"/>
  <c r="B17" i="23"/>
  <c r="E13" i="23"/>
  <c r="C13" i="23"/>
  <c r="B13" i="23"/>
  <c r="G13" i="23" s="1"/>
  <c r="E12" i="23"/>
  <c r="E16" i="23" s="1"/>
  <c r="C12" i="23"/>
  <c r="C16" i="23" s="1"/>
  <c r="B12" i="23"/>
  <c r="E11" i="23"/>
  <c r="E15" i="23" s="1"/>
  <c r="C11" i="23"/>
  <c r="C15" i="23" s="1"/>
  <c r="B11" i="23"/>
  <c r="G10" i="23"/>
  <c r="E8" i="23"/>
  <c r="C8" i="23"/>
  <c r="B8" i="23"/>
  <c r="G8" i="23" s="1"/>
  <c r="G7" i="23"/>
  <c r="G6" i="23"/>
  <c r="G5" i="23"/>
  <c r="G17" i="23"/>
  <c r="I27" i="15"/>
  <c r="I18" i="15"/>
  <c r="I14" i="15"/>
  <c r="I13" i="15"/>
  <c r="I17" i="15" s="1"/>
  <c r="I12" i="15"/>
  <c r="I16" i="15" s="1"/>
  <c r="I9" i="15"/>
  <c r="C11" i="22"/>
  <c r="C12" i="22"/>
  <c r="C13" i="22"/>
  <c r="C15" i="22"/>
  <c r="C16" i="22"/>
  <c r="C17" i="22"/>
  <c r="C8" i="22"/>
  <c r="C26" i="22"/>
  <c r="D26" i="22"/>
  <c r="E26" i="22"/>
  <c r="B26" i="22"/>
  <c r="G25" i="22"/>
  <c r="G24" i="22"/>
  <c r="G23" i="22"/>
  <c r="G22" i="22"/>
  <c r="G26" i="22" s="1"/>
  <c r="E17" i="22"/>
  <c r="B17" i="22"/>
  <c r="E13" i="22"/>
  <c r="B13" i="22"/>
  <c r="G13" i="22" s="1"/>
  <c r="E12" i="22"/>
  <c r="E16" i="22" s="1"/>
  <c r="B12" i="22"/>
  <c r="E11" i="22"/>
  <c r="E15" i="22" s="1"/>
  <c r="B11" i="22"/>
  <c r="G10" i="22"/>
  <c r="E8" i="22"/>
  <c r="B8" i="22"/>
  <c r="G8" i="22" s="1"/>
  <c r="G7" i="22"/>
  <c r="G6" i="22"/>
  <c r="G5" i="22"/>
  <c r="G4" i="22"/>
  <c r="G17" i="22" s="1"/>
  <c r="E55" i="15"/>
  <c r="E46" i="15"/>
  <c r="E42" i="15"/>
  <c r="E41" i="15"/>
  <c r="E45" i="15" s="1"/>
  <c r="E40" i="15"/>
  <c r="E44" i="15" s="1"/>
  <c r="E37" i="15"/>
  <c r="H27" i="15"/>
  <c r="H18" i="15"/>
  <c r="H14" i="15"/>
  <c r="H13" i="15"/>
  <c r="H17" i="15" s="1"/>
  <c r="H12" i="15"/>
  <c r="H16" i="15" s="1"/>
  <c r="H9" i="15"/>
  <c r="C26" i="21"/>
  <c r="C17" i="21"/>
  <c r="C13" i="21"/>
  <c r="C12" i="21"/>
  <c r="C16" i="21" s="1"/>
  <c r="C11" i="21"/>
  <c r="C15" i="21" s="1"/>
  <c r="C8" i="21"/>
  <c r="D26" i="21"/>
  <c r="D17" i="21"/>
  <c r="D13" i="21"/>
  <c r="D12" i="21"/>
  <c r="D16" i="21" s="1"/>
  <c r="D11" i="21"/>
  <c r="D15" i="21" s="1"/>
  <c r="D8" i="21"/>
  <c r="F25" i="21"/>
  <c r="F24" i="21"/>
  <c r="F23" i="21"/>
  <c r="F22" i="21"/>
  <c r="F10" i="21"/>
  <c r="F4" i="21"/>
  <c r="B26" i="21"/>
  <c r="F26" i="21"/>
  <c r="B17" i="21"/>
  <c r="B13" i="21"/>
  <c r="F13" i="21" s="1"/>
  <c r="B12" i="21"/>
  <c r="F12" i="21" s="1"/>
  <c r="B11" i="21"/>
  <c r="F11" i="21" s="1"/>
  <c r="B8" i="21"/>
  <c r="F8" i="21" s="1"/>
  <c r="F7" i="21"/>
  <c r="F6" i="21"/>
  <c r="F5" i="21"/>
  <c r="F17" i="21"/>
  <c r="G27" i="15"/>
  <c r="G18" i="15"/>
  <c r="G14" i="15"/>
  <c r="G13" i="15"/>
  <c r="G17" i="15" s="1"/>
  <c r="G12" i="15"/>
  <c r="G16" i="15" s="1"/>
  <c r="G9" i="15"/>
  <c r="B26" i="20"/>
  <c r="D25" i="20"/>
  <c r="D24" i="20"/>
  <c r="D23" i="20"/>
  <c r="D22" i="20"/>
  <c r="D26" i="20" s="1"/>
  <c r="B17" i="20"/>
  <c r="B13" i="20"/>
  <c r="D13" i="20" s="1"/>
  <c r="B12" i="20"/>
  <c r="B11" i="20"/>
  <c r="D10" i="20"/>
  <c r="B8" i="20"/>
  <c r="D8" i="20" s="1"/>
  <c r="D7" i="20"/>
  <c r="D6" i="20"/>
  <c r="D5" i="20"/>
  <c r="D4" i="20"/>
  <c r="D17" i="20" s="1"/>
  <c r="F26" i="15"/>
  <c r="F27" i="15"/>
  <c r="F18" i="15"/>
  <c r="F14" i="15"/>
  <c r="F13" i="15"/>
  <c r="F17" i="15" s="1"/>
  <c r="F12" i="15"/>
  <c r="F16" i="15" s="1"/>
  <c r="F9" i="15"/>
  <c r="D26" i="19"/>
  <c r="C26" i="19"/>
  <c r="E26" i="19"/>
  <c r="E26" i="15"/>
  <c r="G26" i="19"/>
  <c r="F26" i="19"/>
  <c r="B26" i="19"/>
  <c r="I25" i="19"/>
  <c r="I24" i="19"/>
  <c r="I23" i="19"/>
  <c r="I22" i="19"/>
  <c r="I26" i="19" s="1"/>
  <c r="G17" i="19"/>
  <c r="F17" i="19"/>
  <c r="E17" i="19"/>
  <c r="D17" i="19"/>
  <c r="C17" i="19"/>
  <c r="B17" i="19"/>
  <c r="G13" i="19"/>
  <c r="F13" i="19"/>
  <c r="E13" i="19"/>
  <c r="D13" i="19"/>
  <c r="C13" i="19"/>
  <c r="B13" i="19"/>
  <c r="I13" i="19" s="1"/>
  <c r="G12" i="19"/>
  <c r="G16" i="19" s="1"/>
  <c r="F12" i="19"/>
  <c r="F16" i="19" s="1"/>
  <c r="E12" i="19"/>
  <c r="E16" i="19" s="1"/>
  <c r="D12" i="19"/>
  <c r="D16" i="19" s="1"/>
  <c r="C12" i="19"/>
  <c r="C16" i="19" s="1"/>
  <c r="B12" i="19"/>
  <c r="G11" i="19"/>
  <c r="G15" i="19" s="1"/>
  <c r="F11" i="19"/>
  <c r="F15" i="19" s="1"/>
  <c r="E11" i="19"/>
  <c r="E15" i="19" s="1"/>
  <c r="D11" i="19"/>
  <c r="D15" i="19" s="1"/>
  <c r="C11" i="19"/>
  <c r="C15" i="19" s="1"/>
  <c r="B11" i="19"/>
  <c r="I10" i="19"/>
  <c r="G8" i="19"/>
  <c r="F8" i="19"/>
  <c r="E8" i="19"/>
  <c r="D8" i="19"/>
  <c r="C8" i="19"/>
  <c r="B8" i="19"/>
  <c r="I8" i="19" s="1"/>
  <c r="I7" i="19"/>
  <c r="I6" i="19"/>
  <c r="I5" i="19"/>
  <c r="I4" i="19"/>
  <c r="I17" i="19" s="1"/>
  <c r="D55" i="15"/>
  <c r="D46" i="15"/>
  <c r="D42" i="15"/>
  <c r="D41" i="15"/>
  <c r="D45" i="15" s="1"/>
  <c r="D40" i="15"/>
  <c r="D44" i="15" s="1"/>
  <c r="D37" i="15"/>
  <c r="E27" i="15"/>
  <c r="E18" i="15"/>
  <c r="E14" i="15"/>
  <c r="E13" i="15"/>
  <c r="E17" i="15" s="1"/>
  <c r="E12" i="15"/>
  <c r="E16" i="15" s="1"/>
  <c r="E9" i="15"/>
  <c r="D26" i="18"/>
  <c r="E26" i="18"/>
  <c r="F26" i="18"/>
  <c r="G26" i="18"/>
  <c r="H26" i="18"/>
  <c r="I26" i="18"/>
  <c r="B26" i="18"/>
  <c r="C26" i="18"/>
  <c r="E17" i="18"/>
  <c r="E13" i="18"/>
  <c r="E12" i="18"/>
  <c r="E16" i="18" s="1"/>
  <c r="E11" i="18"/>
  <c r="E15" i="18" s="1"/>
  <c r="E8" i="18"/>
  <c r="D17" i="18"/>
  <c r="D13" i="18"/>
  <c r="D12" i="18"/>
  <c r="D16" i="18" s="1"/>
  <c r="D11" i="18"/>
  <c r="D15" i="18" s="1"/>
  <c r="D8" i="18"/>
  <c r="K25" i="18"/>
  <c r="K24" i="18"/>
  <c r="K23" i="18"/>
  <c r="K22" i="18"/>
  <c r="K26" i="18" s="1"/>
  <c r="I17" i="18"/>
  <c r="H17" i="18"/>
  <c r="G17" i="18"/>
  <c r="F17" i="18"/>
  <c r="C17" i="18"/>
  <c r="B17" i="18"/>
  <c r="I13" i="18"/>
  <c r="H13" i="18"/>
  <c r="G13" i="18"/>
  <c r="F13" i="18"/>
  <c r="C13" i="18"/>
  <c r="B13" i="18"/>
  <c r="K13" i="18" s="1"/>
  <c r="I12" i="18"/>
  <c r="I16" i="18" s="1"/>
  <c r="H12" i="18"/>
  <c r="H16" i="18" s="1"/>
  <c r="G12" i="18"/>
  <c r="G16" i="18" s="1"/>
  <c r="F12" i="18"/>
  <c r="F16" i="18" s="1"/>
  <c r="C12" i="18"/>
  <c r="C16" i="18" s="1"/>
  <c r="B12" i="18"/>
  <c r="I11" i="18"/>
  <c r="I15" i="18" s="1"/>
  <c r="H11" i="18"/>
  <c r="H15" i="18" s="1"/>
  <c r="G11" i="18"/>
  <c r="G15" i="18" s="1"/>
  <c r="F11" i="18"/>
  <c r="F15" i="18" s="1"/>
  <c r="C11" i="18"/>
  <c r="C15" i="18" s="1"/>
  <c r="B11" i="18"/>
  <c r="K10" i="18"/>
  <c r="I8" i="18"/>
  <c r="H8" i="18"/>
  <c r="G8" i="18"/>
  <c r="F8" i="18"/>
  <c r="C8" i="18"/>
  <c r="B8" i="18"/>
  <c r="K8" i="18" s="1"/>
  <c r="K7" i="18"/>
  <c r="K6" i="18"/>
  <c r="K5" i="18"/>
  <c r="K4" i="18"/>
  <c r="K17" i="18" s="1"/>
  <c r="D18" i="15"/>
  <c r="D14" i="15"/>
  <c r="D13" i="15"/>
  <c r="D17" i="15" s="1"/>
  <c r="D12" i="15"/>
  <c r="D16" i="15" s="1"/>
  <c r="D9" i="15"/>
  <c r="C55" i="15"/>
  <c r="B55" i="15"/>
  <c r="C46" i="15"/>
  <c r="B46" i="15"/>
  <c r="C42" i="15"/>
  <c r="B42" i="15"/>
  <c r="C41" i="15"/>
  <c r="C45" i="15" s="1"/>
  <c r="B41" i="15"/>
  <c r="B45" i="15" s="1"/>
  <c r="C40" i="15"/>
  <c r="C44" i="15" s="1"/>
  <c r="B40" i="15"/>
  <c r="B44" i="15" s="1"/>
  <c r="C37" i="15"/>
  <c r="B37" i="15"/>
  <c r="H8" i="17"/>
  <c r="D27" i="15"/>
  <c r="C26" i="17"/>
  <c r="D26" i="17"/>
  <c r="E26" i="17"/>
  <c r="F26" i="17"/>
  <c r="G26" i="17"/>
  <c r="H26" i="17"/>
  <c r="C8" i="17"/>
  <c r="D8" i="17"/>
  <c r="E8" i="17"/>
  <c r="F8" i="17"/>
  <c r="G8" i="17"/>
  <c r="C11" i="17"/>
  <c r="D11" i="17"/>
  <c r="E11" i="17"/>
  <c r="F11" i="17"/>
  <c r="G11" i="17"/>
  <c r="H11" i="17"/>
  <c r="C12" i="17"/>
  <c r="D12" i="17"/>
  <c r="E12" i="17"/>
  <c r="F12" i="17"/>
  <c r="G12" i="17"/>
  <c r="H12" i="17"/>
  <c r="C13" i="17"/>
  <c r="D13" i="17"/>
  <c r="E13" i="17"/>
  <c r="F13" i="17"/>
  <c r="G13" i="17"/>
  <c r="H13" i="17"/>
  <c r="C15" i="17"/>
  <c r="D15" i="17"/>
  <c r="E15" i="17"/>
  <c r="F15" i="17"/>
  <c r="G15" i="17"/>
  <c r="H15" i="17"/>
  <c r="C16" i="17"/>
  <c r="D16" i="17"/>
  <c r="E16" i="17"/>
  <c r="F16" i="17"/>
  <c r="G16" i="17"/>
  <c r="H16" i="17"/>
  <c r="C17" i="17"/>
  <c r="D17" i="17"/>
  <c r="E17" i="17"/>
  <c r="F17" i="17"/>
  <c r="G17" i="17"/>
  <c r="H17" i="17"/>
  <c r="B26" i="17"/>
  <c r="J25" i="17"/>
  <c r="J24" i="17"/>
  <c r="J23" i="17"/>
  <c r="J22" i="17"/>
  <c r="J26" i="17" s="1"/>
  <c r="B17" i="17"/>
  <c r="B13" i="17"/>
  <c r="J13" i="17" s="1"/>
  <c r="B12" i="17"/>
  <c r="B11" i="17"/>
  <c r="J10" i="17"/>
  <c r="B8" i="17"/>
  <c r="J8" i="17" s="1"/>
  <c r="J7" i="17"/>
  <c r="J6" i="17"/>
  <c r="J5" i="17"/>
  <c r="J4" i="17"/>
  <c r="J17" i="17" s="1"/>
  <c r="C27" i="15"/>
  <c r="C18" i="15"/>
  <c r="C14" i="15"/>
  <c r="C13" i="15"/>
  <c r="C17" i="15" s="1"/>
  <c r="C12" i="15"/>
  <c r="C16" i="15" s="1"/>
  <c r="C9" i="15"/>
  <c r="G17" i="16"/>
  <c r="G16" i="16"/>
  <c r="G15" i="16"/>
  <c r="G13" i="16"/>
  <c r="G12" i="16"/>
  <c r="G11" i="16"/>
  <c r="G10" i="16"/>
  <c r="G8" i="16"/>
  <c r="G22" i="16"/>
  <c r="C11" i="16"/>
  <c r="C12" i="16"/>
  <c r="C13" i="16"/>
  <c r="C15" i="16"/>
  <c r="D15" i="16"/>
  <c r="C16" i="16"/>
  <c r="D16" i="16"/>
  <c r="C17" i="16"/>
  <c r="D26" i="16"/>
  <c r="D8" i="16"/>
  <c r="C26" i="16"/>
  <c r="C8" i="16"/>
  <c r="B12" i="12"/>
  <c r="B26" i="16"/>
  <c r="G25" i="16"/>
  <c r="G24" i="16"/>
  <c r="G23" i="16"/>
  <c r="G26" i="16"/>
  <c r="B17" i="16"/>
  <c r="B13" i="16"/>
  <c r="B12" i="16"/>
  <c r="B16" i="16" s="1"/>
  <c r="B11" i="16"/>
  <c r="B15" i="16" s="1"/>
  <c r="B8" i="16"/>
  <c r="G7" i="16"/>
  <c r="G6" i="16"/>
  <c r="G5" i="16"/>
  <c r="G4" i="16"/>
  <c r="B27" i="15"/>
  <c r="B18" i="15"/>
  <c r="B14" i="15"/>
  <c r="B13" i="15"/>
  <c r="B17" i="15" s="1"/>
  <c r="B12" i="15"/>
  <c r="B16" i="15" s="1"/>
  <c r="B9" i="15"/>
  <c r="B26" i="12"/>
  <c r="P11" i="15"/>
  <c r="P5" i="15"/>
  <c r="P26" i="15"/>
  <c r="P25" i="15"/>
  <c r="P24" i="15"/>
  <c r="P23" i="15"/>
  <c r="P8" i="15"/>
  <c r="P7" i="15"/>
  <c r="P6" i="15"/>
  <c r="P27" i="15"/>
  <c r="P18" i="15"/>
  <c r="P9" i="15"/>
  <c r="P14" i="15"/>
  <c r="C17" i="12"/>
  <c r="B17" i="12"/>
  <c r="C26" i="12"/>
  <c r="E4" i="12"/>
  <c r="C13" i="12"/>
  <c r="C12" i="12"/>
  <c r="C11" i="12"/>
  <c r="C15" i="12" s="1"/>
  <c r="C8" i="12"/>
  <c r="E25" i="12"/>
  <c r="E22" i="12"/>
  <c r="E23" i="12"/>
  <c r="E24" i="12"/>
  <c r="E5" i="12"/>
  <c r="E7" i="12"/>
  <c r="E6" i="12"/>
  <c r="B13" i="12"/>
  <c r="B11" i="12"/>
  <c r="B8" i="12"/>
  <c r="E8" i="12"/>
  <c r="E10" i="12"/>
  <c r="E11" i="12"/>
  <c r="E12" i="12"/>
  <c r="E13" i="12"/>
  <c r="B15" i="26" l="1"/>
  <c r="J15" i="26" s="1"/>
  <c r="J11" i="26"/>
  <c r="B16" i="26"/>
  <c r="J16" i="26" s="1"/>
  <c r="J12" i="26"/>
  <c r="B15" i="25"/>
  <c r="H15" i="25" s="1"/>
  <c r="H11" i="25"/>
  <c r="B16" i="25"/>
  <c r="H16" i="25" s="1"/>
  <c r="H12" i="25"/>
  <c r="B15" i="24"/>
  <c r="F15" i="24" s="1"/>
  <c r="F11" i="24"/>
  <c r="B16" i="24"/>
  <c r="F16" i="24" s="1"/>
  <c r="F12" i="24"/>
  <c r="F22" i="24"/>
  <c r="F26" i="24" s="1"/>
  <c r="B15" i="23"/>
  <c r="G15" i="23" s="1"/>
  <c r="G11" i="23"/>
  <c r="B16" i="23"/>
  <c r="G16" i="23" s="1"/>
  <c r="G12" i="23"/>
  <c r="B15" i="22"/>
  <c r="G15" i="22" s="1"/>
  <c r="G11" i="22"/>
  <c r="B16" i="22"/>
  <c r="G16" i="22" s="1"/>
  <c r="G12" i="22"/>
  <c r="B15" i="21"/>
  <c r="F15" i="21" s="1"/>
  <c r="B16" i="21"/>
  <c r="F16" i="21" s="1"/>
  <c r="B15" i="20"/>
  <c r="D15" i="20" s="1"/>
  <c r="D11" i="20"/>
  <c r="B16" i="20"/>
  <c r="D16" i="20" s="1"/>
  <c r="D12" i="20"/>
  <c r="B15" i="19"/>
  <c r="I15" i="19" s="1"/>
  <c r="I11" i="19"/>
  <c r="B16" i="19"/>
  <c r="I16" i="19" s="1"/>
  <c r="I12" i="19"/>
  <c r="B15" i="18"/>
  <c r="K15" i="18" s="1"/>
  <c r="K11" i="18"/>
  <c r="B16" i="18"/>
  <c r="K16" i="18" s="1"/>
  <c r="K12" i="18"/>
  <c r="B15" i="17"/>
  <c r="J15" i="17" s="1"/>
  <c r="J11" i="17"/>
  <c r="B16" i="17"/>
  <c r="J16" i="17" s="1"/>
  <c r="J12" i="17"/>
  <c r="E17" i="12"/>
  <c r="B15" i="12"/>
  <c r="B16" i="12"/>
  <c r="E15" i="12"/>
  <c r="C16" i="12"/>
  <c r="P16" i="15"/>
  <c r="P12" i="15"/>
  <c r="P17" i="15"/>
  <c r="P13" i="15"/>
  <c r="E26" i="12"/>
  <c r="E16" i="12"/>
</calcChain>
</file>

<file path=xl/sharedStrings.xml><?xml version="1.0" encoding="utf-8"?>
<sst xmlns="http://schemas.openxmlformats.org/spreadsheetml/2006/main" count="786" uniqueCount="138">
  <si>
    <t>Birthday</t>
  </si>
  <si>
    <t>OCC</t>
  </si>
  <si>
    <t>Jan Birthday</t>
  </si>
  <si>
    <t>Feb Birthday</t>
  </si>
  <si>
    <t>Mar Birthday</t>
  </si>
  <si>
    <t>April Birthday</t>
  </si>
  <si>
    <t>May Birthday</t>
  </si>
  <si>
    <t>June Birthday</t>
  </si>
  <si>
    <t>July Birthday</t>
  </si>
  <si>
    <t>Aug Birthday</t>
  </si>
  <si>
    <t>Sept Birthday</t>
  </si>
  <si>
    <t>Oct Birthday</t>
  </si>
  <si>
    <t>Nov Birthday</t>
  </si>
  <si>
    <t>Dec Birthday</t>
  </si>
  <si>
    <t>Totals</t>
  </si>
  <si>
    <t>Description</t>
  </si>
  <si>
    <t>$7 off $35+ wines or spirits 
700mL, 750mL, 1L, 1.5L or 1.75L sizes</t>
  </si>
  <si>
    <t>Dates Active</t>
  </si>
  <si>
    <t>1/1-1/31</t>
  </si>
  <si>
    <t>2/1-2/28</t>
  </si>
  <si>
    <t>3/1-3/31</t>
  </si>
  <si>
    <t>4/1-4/30</t>
  </si>
  <si>
    <t>5/1-5/31</t>
  </si>
  <si>
    <t>6/1-6/30</t>
  </si>
  <si>
    <t>7/1-7/31</t>
  </si>
  <si>
    <t>8/1-8/30</t>
  </si>
  <si>
    <t>9/1-9/30</t>
  </si>
  <si>
    <t>10/1-10/31</t>
  </si>
  <si>
    <t>11/1-12/1</t>
  </si>
  <si>
    <t>12/1-12/31</t>
  </si>
  <si>
    <t>Full Retail Value</t>
  </si>
  <si>
    <t>Markdown Discount (sale prices)</t>
  </si>
  <si>
    <t>Total Promotional Discount</t>
  </si>
  <si>
    <t>Promo Discount (This Promo)</t>
  </si>
  <si>
    <t>Gross Rev</t>
  </si>
  <si>
    <t># of orders</t>
  </si>
  <si>
    <t>Avg Full Retail Value</t>
  </si>
  <si>
    <t>Avg Retail Value w/ Sale Prices</t>
  </si>
  <si>
    <t>Av Retail Value w/ Sale Prices and Promotions</t>
  </si>
  <si>
    <t>Promotional Cost per Order
w/ Sale Prices and Promotions</t>
  </si>
  <si>
    <t>Promotional Cost per Order
w/ Promotions only</t>
  </si>
  <si>
    <t>AOV</t>
  </si>
  <si>
    <t>INSTORE</t>
  </si>
  <si>
    <t>Promo Sales (Trans Total)</t>
  </si>
  <si>
    <t>Gross Profit Margin</t>
  </si>
  <si>
    <t>Transactions</t>
  </si>
  <si>
    <t>Total Discount</t>
  </si>
  <si>
    <t>VBCs</t>
  </si>
  <si>
    <t>Sagamore VBC</t>
  </si>
  <si>
    <t>Whistlepig VBC</t>
  </si>
  <si>
    <t>Night Owl VBC</t>
  </si>
  <si>
    <t>Western Son VBC</t>
  </si>
  <si>
    <t>Ballotin $5 off</t>
  </si>
  <si>
    <t>$8 off Sagamore
Pcodes: 460005, 460105</t>
  </si>
  <si>
    <t>$4 off Whistlepig Whiskey
Pcodes: 909005, 910505</t>
  </si>
  <si>
    <t xml:space="preserve">$5 off Western Son Vodka 1.75L
Pcodes: </t>
  </si>
  <si>
    <t>$5 off Ballotin Whiskey</t>
  </si>
  <si>
    <t>2/11-4/5</t>
  </si>
  <si>
    <t>7/7-8/2</t>
  </si>
  <si>
    <t>10/5-11/1</t>
  </si>
  <si>
    <t>Free Bottles</t>
  </si>
  <si>
    <t>BigCommerce</t>
  </si>
  <si>
    <t>Dec THC Promo</t>
  </si>
  <si>
    <t xml:space="preserve">Week before NY </t>
  </si>
  <si>
    <t>Vero Print Ad</t>
  </si>
  <si>
    <t>Pt St Lucie Print Ad</t>
  </si>
  <si>
    <t>Store 133 Mailer</t>
  </si>
  <si>
    <t>New Sign Ups</t>
  </si>
  <si>
    <t>15% off $25+ THC sizes</t>
  </si>
  <si>
    <t>$15 off $75+ wines or spirits 700mL, 750mL, 1L, 1.5L or 1.75L sizes</t>
  </si>
  <si>
    <t>$15 off $100+ wines or spirits 700mL, 750mL, 1L, 1.5L or 1.75L sizes</t>
  </si>
  <si>
    <t>$5 off $35+ wines or spirits 
700mL, 750mL, 1L, 1.5L or 1.75L sizes</t>
  </si>
  <si>
    <t>11/6-12/30</t>
  </si>
  <si>
    <t>10/14-12/31</t>
  </si>
  <si>
    <t>11/1-12/31</t>
  </si>
  <si>
    <t>11/4-12/23</t>
  </si>
  <si>
    <t>12/1/2025-12/31/2026</t>
  </si>
  <si>
    <t>Black Friday</t>
  </si>
  <si>
    <t>Nov Vero Print Ad</t>
  </si>
  <si>
    <t>Nov Pt St Lucie Print Ad</t>
  </si>
  <si>
    <t>Store 133 Opening</t>
  </si>
  <si>
    <t>15% off S&amp;C wines or spirits 700mL, 750mL, 1L, 1.5L or 1.75L sizes</t>
  </si>
  <si>
    <t>$5 off $25+ S&amp;C wines or spirits 700mL, 750mL, 1L, 1.5L or 1.75L sizes</t>
  </si>
  <si>
    <t>11/1-11/30</t>
  </si>
  <si>
    <t>11/5-11/22</t>
  </si>
  <si>
    <t>Oct Promo</t>
  </si>
  <si>
    <t>9/11-10/12</t>
  </si>
  <si>
    <t>Store 181 Mailer</t>
  </si>
  <si>
    <t>Store 95 Promo</t>
  </si>
  <si>
    <t>July Aug Features Incentive</t>
  </si>
  <si>
    <t>$5 off $50+ wines or spirits 700mL, 750mL, 1L, 1.5L or 1.75L sizes</t>
  </si>
  <si>
    <t>Feature Incentives for TM</t>
  </si>
  <si>
    <t>8/4-10/4</t>
  </si>
  <si>
    <t>9/23-10/4</t>
  </si>
  <si>
    <t>9/2-10/6</t>
  </si>
  <si>
    <t>Store 181 $5 off $25</t>
  </si>
  <si>
    <t>Store 184 $ 5 off $35</t>
  </si>
  <si>
    <t>$5 off $35+ wines or spirits 700mL, 750mL, 1L, 1.5L or 1.75L sizes</t>
  </si>
  <si>
    <t>8/4-8/23</t>
  </si>
  <si>
    <t>8/4-8/14</t>
  </si>
  <si>
    <t>THC Promo</t>
  </si>
  <si>
    <t>10% off $25 of any THC product</t>
  </si>
  <si>
    <t>7/30-8/1</t>
  </si>
  <si>
    <t>Vero Mailer</t>
  </si>
  <si>
    <t>Vero Easter Ad Page</t>
  </si>
  <si>
    <t>May Italian Wine Tasting</t>
  </si>
  <si>
    <t>Jeep Jam 2025</t>
  </si>
  <si>
    <t>Por Osos 2B5k</t>
  </si>
  <si>
    <t>$15 off $75+ wines or spirits 
700mL, 750mL, 1L, 1.5L or 1.75L sizes.
Valid at stores 42 &amp; 43 only</t>
  </si>
  <si>
    <t>10% off Wine and Spirits purchases up to $100</t>
  </si>
  <si>
    <t>$5 off $25+ wines or spirits 700mL, 750mL, 1L, 1.5L or 1.75L sizes</t>
  </si>
  <si>
    <t>3/11-5/11</t>
  </si>
  <si>
    <t>4/1-5/5</t>
  </si>
  <si>
    <t>5/7-5/8</t>
  </si>
  <si>
    <t>5/12-5/31</t>
  </si>
  <si>
    <t>5/2-5/18</t>
  </si>
  <si>
    <t>Store 54 New</t>
  </si>
  <si>
    <t xml:space="preserve">Store 54 Mailer </t>
  </si>
  <si>
    <t>Store 54 Opening Weekend</t>
  </si>
  <si>
    <t>Sandestin Wine Festival</t>
  </si>
  <si>
    <t>$5 off Night Owl
Pcodes: 489115, 489015</t>
  </si>
  <si>
    <t>$15 off $75+ wines or spirits 
700mL, 750mL, 1L, 1.5L or 1.75L sizes</t>
  </si>
  <si>
    <t>$10 off $50+ S&amp;C wines or spirits 700mL, 750mL, 1L, 1.5L or 1.75L sizes</t>
  </si>
  <si>
    <t>2/10-3/22</t>
  </si>
  <si>
    <t>2/11-4/14</t>
  </si>
  <si>
    <t>2/11-3/31</t>
  </si>
  <si>
    <t>3/1-3/6</t>
  </si>
  <si>
    <t>Store 54 Email</t>
  </si>
  <si>
    <t xml:space="preserve">$5 off Night Owl
Pcodes: 489115, 489015 </t>
  </si>
  <si>
    <t>March Italina Wine Tasting</t>
  </si>
  <si>
    <t>Vero Email</t>
  </si>
  <si>
    <t xml:space="preserve">Store 187 </t>
  </si>
  <si>
    <t>Store 156 Closing</t>
  </si>
  <si>
    <t>1/21-3/1</t>
  </si>
  <si>
    <t>1/23-3/1</t>
  </si>
  <si>
    <t>2/21/2025-3/14/2025</t>
  </si>
  <si>
    <t> </t>
  </si>
  <si>
    <t>1/14-1/31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</si>
</sst>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_([$$-409]* #,##0.00_);_([$$-409]* \(#,##0.00\);_([$$-409]* &quot;-&quot;??_);_(@_)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3EAE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3EAE2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9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/>
    <xf numFmtId="8" fontId="0" fillId="2" borderId="5" xfId="0" applyNumberFormat="1" applyFill="1" applyBorder="1"/>
    <xf numFmtId="8" fontId="0" fillId="0" borderId="0" xfId="0" applyNumberFormat="1"/>
    <xf numFmtId="0" fontId="0" fillId="2" borderId="1" xfId="0" applyFill="1" applyBorder="1"/>
    <xf numFmtId="8" fontId="0" fillId="2" borderId="1" xfId="0" applyNumberFormat="1" applyFill="1" applyBorder="1"/>
    <xf numFmtId="0" fontId="0" fillId="3" borderId="1" xfId="0" applyFill="1" applyBorder="1"/>
    <xf numFmtId="0" fontId="0" fillId="3" borderId="0" xfId="0" applyFill="1"/>
    <xf numFmtId="0" fontId="0" fillId="2" borderId="1" xfId="0" applyFill="1" applyBorder="1" applyAlignment="1">
      <alignment wrapText="1"/>
    </xf>
    <xf numFmtId="164" fontId="0" fillId="0" borderId="0" xfId="0" applyNumberFormat="1" applyAlignment="1">
      <alignment horizontal="right"/>
    </xf>
    <xf numFmtId="0" fontId="0" fillId="2" borderId="2" xfId="0" applyFill="1" applyBorder="1" applyAlignment="1">
      <alignment horizontal="center" vertical="center" wrapText="1"/>
    </xf>
    <xf numFmtId="10" fontId="0" fillId="0" borderId="0" xfId="1" applyNumberFormat="1" applyFont="1"/>
    <xf numFmtId="0" fontId="1" fillId="0" borderId="0" xfId="0" applyFont="1"/>
    <xf numFmtId="1" fontId="0" fillId="2" borderId="1" xfId="0" applyNumberFormat="1" applyFill="1" applyBorder="1" applyAlignment="1">
      <alignment horizontal="right"/>
    </xf>
    <xf numFmtId="165" fontId="0" fillId="0" borderId="0" xfId="2" applyNumberFormat="1" applyFont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/>
    </xf>
    <xf numFmtId="164" fontId="0" fillId="4" borderId="5" xfId="0" applyNumberFormat="1" applyFill="1" applyBorder="1" applyAlignment="1">
      <alignment horizontal="left"/>
    </xf>
    <xf numFmtId="164" fontId="0" fillId="4" borderId="1" xfId="0" applyNumberFormat="1" applyFill="1" applyBorder="1" applyAlignment="1">
      <alignment horizontal="right"/>
    </xf>
    <xf numFmtId="10" fontId="0" fillId="4" borderId="5" xfId="1" applyNumberFormat="1" applyFont="1" applyFill="1" applyBorder="1"/>
    <xf numFmtId="10" fontId="0" fillId="4" borderId="1" xfId="1" applyNumberFormat="1" applyFont="1" applyFill="1" applyBorder="1" applyAlignment="1">
      <alignment horizontal="right"/>
    </xf>
    <xf numFmtId="0" fontId="0" fillId="4" borderId="5" xfId="0" applyFill="1" applyBorder="1"/>
    <xf numFmtId="165" fontId="0" fillId="4" borderId="1" xfId="2" applyNumberFormat="1" applyFont="1" applyFill="1" applyBorder="1" applyAlignment="1">
      <alignment horizontal="right"/>
    </xf>
    <xf numFmtId="16" fontId="0" fillId="2" borderId="3" xfId="0" applyNumberFormat="1" applyFill="1" applyBorder="1" applyAlignment="1">
      <alignment horizontal="center"/>
    </xf>
    <xf numFmtId="16" fontId="0" fillId="4" borderId="3" xfId="0" applyNumberFormat="1" applyFill="1" applyBorder="1" applyAlignment="1">
      <alignment horizontal="center"/>
    </xf>
    <xf numFmtId="1" fontId="0" fillId="0" borderId="0" xfId="0" applyNumberFormat="1"/>
    <xf numFmtId="0" fontId="0" fillId="4" borderId="6" xfId="0" applyFill="1" applyBorder="1"/>
    <xf numFmtId="164" fontId="0" fillId="0" borderId="0" xfId="2" applyNumberFormat="1" applyFont="1" applyAlignment="1">
      <alignment horizontal="right"/>
    </xf>
    <xf numFmtId="166" fontId="0" fillId="0" borderId="0" xfId="0" applyNumberFormat="1"/>
    <xf numFmtId="166" fontId="0" fillId="4" borderId="6" xfId="0" applyNumberFormat="1" applyFill="1" applyBorder="1"/>
    <xf numFmtId="164" fontId="0" fillId="4" borderId="7" xfId="0" applyNumberFormat="1" applyFill="1" applyBorder="1" applyAlignment="1">
      <alignment horizontal="right"/>
    </xf>
    <xf numFmtId="164" fontId="0" fillId="4" borderId="2" xfId="0" applyNumberFormat="1" applyFill="1" applyBorder="1" applyAlignment="1">
      <alignment horizontal="right"/>
    </xf>
    <xf numFmtId="0" fontId="0" fillId="2" borderId="6" xfId="0" applyFill="1" applyBorder="1" applyAlignment="1">
      <alignment wrapText="1"/>
    </xf>
    <xf numFmtId="8" fontId="0" fillId="2" borderId="6" xfId="0" applyNumberFormat="1" applyFill="1" applyBorder="1"/>
    <xf numFmtId="8" fontId="0" fillId="2" borderId="2" xfId="0" applyNumberFormat="1" applyFill="1" applyBorder="1"/>
    <xf numFmtId="0" fontId="1" fillId="5" borderId="0" xfId="0" applyFont="1" applyFill="1"/>
    <xf numFmtId="165" fontId="0" fillId="4" borderId="9" xfId="2" applyNumberFormat="1" applyFont="1" applyFill="1" applyBorder="1" applyAlignment="1">
      <alignment horizontal="right"/>
    </xf>
    <xf numFmtId="164" fontId="0" fillId="4" borderId="10" xfId="0" applyNumberFormat="1" applyFill="1" applyBorder="1" applyAlignment="1">
      <alignment horizontal="right"/>
    </xf>
    <xf numFmtId="166" fontId="0" fillId="4" borderId="11" xfId="0" applyNumberFormat="1" applyFill="1" applyBorder="1"/>
    <xf numFmtId="8" fontId="0" fillId="6" borderId="5" xfId="0" applyNumberFormat="1" applyFill="1" applyBorder="1"/>
    <xf numFmtId="8" fontId="0" fillId="6" borderId="1" xfId="0" applyNumberFormat="1" applyFill="1" applyBorder="1"/>
    <xf numFmtId="1" fontId="0" fillId="6" borderId="1" xfId="0" applyNumberFormat="1" applyFill="1" applyBorder="1" applyAlignment="1">
      <alignment horizontal="right"/>
    </xf>
    <xf numFmtId="8" fontId="0" fillId="6" borderId="2" xfId="0" applyNumberFormat="1" applyFill="1" applyBorder="1"/>
    <xf numFmtId="8" fontId="0" fillId="6" borderId="6" xfId="0" applyNumberFormat="1" applyFill="1" applyBorder="1"/>
    <xf numFmtId="165" fontId="0" fillId="0" borderId="0" xfId="0" applyNumberFormat="1"/>
    <xf numFmtId="0" fontId="3" fillId="7" borderId="1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 wrapText="1"/>
    </xf>
    <xf numFmtId="0" fontId="4" fillId="7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 wrapText="1"/>
    </xf>
    <xf numFmtId="0" fontId="4" fillId="9" borderId="3" xfId="0" applyFont="1" applyFill="1" applyBorder="1" applyAlignment="1">
      <alignment horizontal="center"/>
    </xf>
    <xf numFmtId="8" fontId="4" fillId="7" borderId="5" xfId="0" applyNumberFormat="1" applyFont="1" applyFill="1" applyBorder="1" applyAlignment="1">
      <alignment horizontal="right"/>
    </xf>
    <xf numFmtId="0" fontId="4" fillId="7" borderId="5" xfId="0" applyFont="1" applyFill="1" applyBorder="1" applyAlignment="1">
      <alignment horizontal="right"/>
    </xf>
    <xf numFmtId="0" fontId="4" fillId="8" borderId="5" xfId="0" applyFont="1" applyFill="1" applyBorder="1" applyAlignment="1">
      <alignment horizontal="right"/>
    </xf>
    <xf numFmtId="8" fontId="4" fillId="7" borderId="12" xfId="0" applyNumberFormat="1" applyFont="1" applyFill="1" applyBorder="1" applyAlignment="1">
      <alignment horizontal="right"/>
    </xf>
    <xf numFmtId="8" fontId="4" fillId="7" borderId="2" xfId="0" applyNumberFormat="1" applyFont="1" applyFill="1" applyBorder="1" applyAlignment="1">
      <alignment horizontal="right"/>
    </xf>
    <xf numFmtId="8" fontId="4" fillId="7" borderId="6" xfId="0" applyNumberFormat="1" applyFont="1" applyFill="1" applyBorder="1" applyAlignment="1">
      <alignment horizontal="right"/>
    </xf>
    <xf numFmtId="8" fontId="4" fillId="9" borderId="5" xfId="0" applyNumberFormat="1" applyFont="1" applyFill="1" applyBorder="1" applyAlignment="1">
      <alignment horizontal="right"/>
    </xf>
    <xf numFmtId="10" fontId="4" fillId="10" borderId="5" xfId="0" applyNumberFormat="1" applyFont="1" applyFill="1" applyBorder="1" applyAlignment="1">
      <alignment horizontal="right"/>
    </xf>
    <xf numFmtId="0" fontId="4" fillId="10" borderId="5" xfId="0" applyFont="1" applyFill="1" applyBorder="1" applyAlignment="1">
      <alignment horizontal="right"/>
    </xf>
    <xf numFmtId="8" fontId="4" fillId="10" borderId="5" xfId="0" applyNumberFormat="1" applyFont="1" applyFill="1" applyBorder="1" applyAlignment="1">
      <alignment horizontal="right"/>
    </xf>
    <xf numFmtId="8" fontId="4" fillId="10" borderId="8" xfId="0" applyNumberFormat="1" applyFont="1" applyFill="1" applyBorder="1" applyAlignment="1">
      <alignment horizontal="right"/>
    </xf>
    <xf numFmtId="16" fontId="0" fillId="6" borderId="3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0" fillId="4" borderId="5" xfId="0" applyNumberFormat="1" applyFill="1" applyBorder="1" applyAlignment="1">
      <alignment horizontal="right"/>
    </xf>
    <xf numFmtId="10" fontId="0" fillId="4" borderId="5" xfId="1" applyNumberFormat="1" applyFont="1" applyFill="1" applyBorder="1" applyAlignment="1">
      <alignment horizontal="right"/>
    </xf>
    <xf numFmtId="165" fontId="0" fillId="4" borderId="5" xfId="2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164" fontId="0" fillId="4" borderId="6" xfId="0" applyNumberFormat="1" applyFill="1" applyBorder="1"/>
    <xf numFmtId="164" fontId="0" fillId="4" borderId="0" xfId="0" applyNumberFormat="1" applyFill="1" applyAlignment="1">
      <alignment horizontal="right"/>
    </xf>
    <xf numFmtId="0" fontId="4" fillId="11" borderId="12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/>
    </xf>
    <xf numFmtId="0" fontId="0" fillId="11" borderId="2" xfId="0" applyFill="1" applyBorder="1" applyAlignment="1">
      <alignment horizontal="center" vertical="center" wrapText="1"/>
    </xf>
    <xf numFmtId="16" fontId="0" fillId="11" borderId="3" xfId="0" applyNumberFormat="1" applyFill="1" applyBorder="1" applyAlignment="1">
      <alignment horizontal="center"/>
    </xf>
    <xf numFmtId="8" fontId="0" fillId="11" borderId="5" xfId="0" applyNumberFormat="1" applyFill="1" applyBorder="1"/>
    <xf numFmtId="8" fontId="0" fillId="11" borderId="1" xfId="0" applyNumberFormat="1" applyFill="1" applyBorder="1"/>
    <xf numFmtId="1" fontId="0" fillId="11" borderId="1" xfId="0" applyNumberFormat="1" applyFill="1" applyBorder="1" applyAlignment="1">
      <alignment horizontal="right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/>
    </xf>
    <xf numFmtId="0" fontId="0" fillId="11" borderId="5" xfId="0" applyFill="1" applyBorder="1"/>
    <xf numFmtId="0" fontId="0" fillId="11" borderId="1" xfId="0" applyFill="1" applyBorder="1"/>
    <xf numFmtId="0" fontId="0" fillId="11" borderId="1" xfId="0" applyFill="1" applyBorder="1" applyAlignment="1">
      <alignment wrapText="1"/>
    </xf>
    <xf numFmtId="0" fontId="0" fillId="11" borderId="6" xfId="0" applyFill="1" applyBorder="1" applyAlignment="1">
      <alignment wrapText="1"/>
    </xf>
    <xf numFmtId="8" fontId="0" fillId="11" borderId="6" xfId="0" applyNumberForma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F283-6CAD-4160-95C1-C90B68ABE8F1}">
  <dimension ref="A1:P83"/>
  <sheetViews>
    <sheetView workbookViewId="0">
      <pane xSplit="1" topLeftCell="B1" activePane="topRight" state="frozen"/>
      <selection pane="topRight" activeCell="S9" sqref="S9"/>
    </sheetView>
  </sheetViews>
  <sheetFormatPr defaultRowHeight="15"/>
  <cols>
    <col min="1" max="1" width="32.42578125" customWidth="1"/>
    <col min="2" max="3" width="20.7109375" customWidth="1"/>
    <col min="4" max="4" width="23.42578125" customWidth="1"/>
    <col min="5" max="5" width="22.28515625" customWidth="1"/>
    <col min="6" max="6" width="20.7109375" customWidth="1"/>
    <col min="7" max="13" width="19.85546875" customWidth="1"/>
    <col min="14" max="14" width="18.140625" customWidth="1"/>
    <col min="16" max="16" width="18.85546875" customWidth="1"/>
  </cols>
  <sheetData>
    <row r="1" spans="1:16">
      <c r="A1" s="44" t="s">
        <v>0</v>
      </c>
    </row>
    <row r="2" spans="1:1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85" t="s">
        <v>12</v>
      </c>
      <c r="M2" s="85" t="s">
        <v>13</v>
      </c>
      <c r="N2" s="1"/>
      <c r="P2" s="2" t="s">
        <v>14</v>
      </c>
    </row>
    <row r="3" spans="1:16" ht="60.75">
      <c r="A3" s="3" t="s">
        <v>15</v>
      </c>
      <c r="B3" s="17" t="s">
        <v>16</v>
      </c>
      <c r="C3" s="17" t="s">
        <v>16</v>
      </c>
      <c r="D3" s="17" t="s">
        <v>16</v>
      </c>
      <c r="E3" s="17" t="s">
        <v>16</v>
      </c>
      <c r="F3" s="17" t="s">
        <v>16</v>
      </c>
      <c r="G3" s="17" t="s">
        <v>16</v>
      </c>
      <c r="H3" s="17" t="s">
        <v>16</v>
      </c>
      <c r="I3" s="17" t="s">
        <v>16</v>
      </c>
      <c r="J3" s="17" t="s">
        <v>16</v>
      </c>
      <c r="K3" s="17" t="s">
        <v>16</v>
      </c>
      <c r="L3" s="86" t="s">
        <v>16</v>
      </c>
      <c r="M3" s="86" t="s">
        <v>16</v>
      </c>
      <c r="N3" s="17"/>
      <c r="P3" s="5"/>
    </row>
    <row r="4" spans="1:16">
      <c r="A4" s="6" t="s">
        <v>17</v>
      </c>
      <c r="B4" s="32" t="s">
        <v>18</v>
      </c>
      <c r="C4" s="32" t="s">
        <v>19</v>
      </c>
      <c r="D4" s="32" t="s">
        <v>20</v>
      </c>
      <c r="E4" s="32" t="s">
        <v>21</v>
      </c>
      <c r="F4" s="32" t="s">
        <v>22</v>
      </c>
      <c r="G4" s="32" t="s">
        <v>23</v>
      </c>
      <c r="H4" s="32" t="s">
        <v>24</v>
      </c>
      <c r="I4" s="32" t="s">
        <v>25</v>
      </c>
      <c r="J4" s="32" t="s">
        <v>26</v>
      </c>
      <c r="K4" s="32" t="s">
        <v>27</v>
      </c>
      <c r="L4" s="87" t="s">
        <v>28</v>
      </c>
      <c r="M4" s="87" t="s">
        <v>29</v>
      </c>
      <c r="N4" s="32"/>
      <c r="P4" s="4"/>
    </row>
    <row r="5" spans="1:16">
      <c r="A5" s="8" t="s">
        <v>30</v>
      </c>
      <c r="B5" s="9">
        <v>10914.8</v>
      </c>
      <c r="C5" s="9">
        <v>6505.91</v>
      </c>
      <c r="D5" s="9">
        <v>6353.22</v>
      </c>
      <c r="E5" s="9">
        <v>10109.799999999999</v>
      </c>
      <c r="F5" s="9">
        <v>8933.1</v>
      </c>
      <c r="G5" s="9">
        <v>5931.45</v>
      </c>
      <c r="H5" s="9">
        <v>9055.77</v>
      </c>
      <c r="I5" s="9">
        <v>10322.93</v>
      </c>
      <c r="J5" s="9">
        <v>10164.58</v>
      </c>
      <c r="K5" s="9">
        <v>8118.82</v>
      </c>
      <c r="L5" s="88">
        <v>9617.4500000000007</v>
      </c>
      <c r="M5" s="88">
        <v>43361</v>
      </c>
      <c r="N5" s="48"/>
      <c r="P5" s="10">
        <f>SUM(B5:N5)</f>
        <v>139388.82999999996</v>
      </c>
    </row>
    <row r="6" spans="1:16">
      <c r="A6" s="11" t="s">
        <v>31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89"/>
      <c r="M6" s="89"/>
      <c r="N6" s="49"/>
      <c r="P6" s="10">
        <f>SUM(B6:N6)</f>
        <v>0</v>
      </c>
    </row>
    <row r="7" spans="1:16">
      <c r="A7" s="11" t="s">
        <v>32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89"/>
      <c r="M7" s="89"/>
      <c r="N7" s="49"/>
      <c r="P7" s="10">
        <f>SUM(B7:N7)</f>
        <v>0</v>
      </c>
    </row>
    <row r="8" spans="1:16">
      <c r="A8" s="11" t="s">
        <v>33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89"/>
      <c r="M8" s="89"/>
      <c r="N8" s="49"/>
      <c r="P8" s="10">
        <f>SUM(B8:N8)</f>
        <v>0</v>
      </c>
    </row>
    <row r="9" spans="1:16">
      <c r="A9" s="11" t="s">
        <v>34</v>
      </c>
      <c r="B9" s="12">
        <f>B5-B6-B7</f>
        <v>10914.8</v>
      </c>
      <c r="C9" s="12">
        <f>C5-C6-C7</f>
        <v>6505.91</v>
      </c>
      <c r="D9" s="12">
        <f>D5-D6-D7</f>
        <v>6353.22</v>
      </c>
      <c r="E9" s="12">
        <f>E5-E6-E7</f>
        <v>10109.799999999999</v>
      </c>
      <c r="F9" s="12">
        <f>F5-F6-F7</f>
        <v>8933.1</v>
      </c>
      <c r="G9" s="12">
        <f>G5-G6-G7</f>
        <v>5931.45</v>
      </c>
      <c r="H9" s="12">
        <f>H5-H6-H7</f>
        <v>9055.77</v>
      </c>
      <c r="I9" s="12">
        <f>I5-I6-I7</f>
        <v>10322.93</v>
      </c>
      <c r="J9" s="12">
        <f>J5-J6-J7</f>
        <v>10164.58</v>
      </c>
      <c r="K9" s="12">
        <f>K5-K6-K7</f>
        <v>8118.82</v>
      </c>
      <c r="L9" s="89">
        <f>L5-L6-L7</f>
        <v>9617.4500000000007</v>
      </c>
      <c r="M9" s="89">
        <f>M5-M6-M7</f>
        <v>43361</v>
      </c>
      <c r="N9" s="49"/>
      <c r="P9" s="10">
        <f>SUM(E9:N9)</f>
        <v>115614.90000000001</v>
      </c>
    </row>
    <row r="10" spans="1:16" ht="4.7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P10" s="14"/>
    </row>
    <row r="11" spans="1:16">
      <c r="A11" s="11" t="s">
        <v>35</v>
      </c>
      <c r="B11" s="20">
        <v>134</v>
      </c>
      <c r="C11" s="20">
        <v>86</v>
      </c>
      <c r="D11" s="20">
        <v>77</v>
      </c>
      <c r="E11" s="20">
        <v>129</v>
      </c>
      <c r="F11" s="20">
        <v>134</v>
      </c>
      <c r="G11" s="20">
        <v>73</v>
      </c>
      <c r="H11" s="20">
        <v>122</v>
      </c>
      <c r="I11" s="20">
        <v>139</v>
      </c>
      <c r="J11" s="20">
        <v>121</v>
      </c>
      <c r="K11" s="20">
        <v>124</v>
      </c>
      <c r="L11" s="90">
        <v>116</v>
      </c>
      <c r="M11" s="90">
        <v>427</v>
      </c>
      <c r="N11" s="50"/>
      <c r="P11" s="53">
        <f>SUM(B11:N11)</f>
        <v>1682</v>
      </c>
    </row>
    <row r="12" spans="1:16">
      <c r="A12" s="11" t="s">
        <v>36</v>
      </c>
      <c r="B12" s="12">
        <f>B5/B11</f>
        <v>81.453731343283579</v>
      </c>
      <c r="C12" s="12">
        <f>C5/C11</f>
        <v>75.650116279069763</v>
      </c>
      <c r="D12" s="12">
        <f>D5/D11</f>
        <v>82.509350649350651</v>
      </c>
      <c r="E12" s="12">
        <f>E5/E11</f>
        <v>78.370542635658907</v>
      </c>
      <c r="F12" s="12">
        <f>F5/F11</f>
        <v>66.664925373134338</v>
      </c>
      <c r="G12" s="12">
        <f>G5/G11</f>
        <v>81.2527397260274</v>
      </c>
      <c r="H12" s="12">
        <f>H5/H11</f>
        <v>74.227622950819679</v>
      </c>
      <c r="I12" s="12">
        <f>I5/I11</f>
        <v>74.265683453237415</v>
      </c>
      <c r="J12" s="12">
        <f>J5/J11</f>
        <v>84.004793388429746</v>
      </c>
      <c r="K12" s="12">
        <f>K5/K11</f>
        <v>65.474354838709672</v>
      </c>
      <c r="L12" s="89">
        <f>L5/L11</f>
        <v>82.909051724137939</v>
      </c>
      <c r="M12" s="89">
        <f>M5/M11</f>
        <v>101.5480093676815</v>
      </c>
      <c r="N12" s="49"/>
      <c r="P12" s="10">
        <f>AVERAGE(B12:N12)</f>
        <v>79.027576810795054</v>
      </c>
    </row>
    <row r="13" spans="1:16">
      <c r="A13" s="11" t="s">
        <v>37</v>
      </c>
      <c r="B13" s="12">
        <f>(B5-B6)/B11</f>
        <v>81.453731343283579</v>
      </c>
      <c r="C13" s="12">
        <f>(C5-C6)/C11</f>
        <v>75.650116279069763</v>
      </c>
      <c r="D13" s="12">
        <f>(D5-D6)/D11</f>
        <v>82.509350649350651</v>
      </c>
      <c r="E13" s="12">
        <f>(E5-E6)/E11</f>
        <v>78.370542635658907</v>
      </c>
      <c r="F13" s="12">
        <f>(F5-F6)/F11</f>
        <v>66.664925373134338</v>
      </c>
      <c r="G13" s="12">
        <f>(G5-G6)/G11</f>
        <v>81.2527397260274</v>
      </c>
      <c r="H13" s="12">
        <f>(H5-H6)/H11</f>
        <v>74.227622950819679</v>
      </c>
      <c r="I13" s="12">
        <f>(I5-I6)/I11</f>
        <v>74.265683453237415</v>
      </c>
      <c r="J13" s="12">
        <f>(J5-J6)/J11</f>
        <v>84.004793388429746</v>
      </c>
      <c r="K13" s="12">
        <f>(K5-K6)/K11</f>
        <v>65.474354838709672</v>
      </c>
      <c r="L13" s="89">
        <f>(L5-L6)/L11</f>
        <v>82.909051724137939</v>
      </c>
      <c r="M13" s="89">
        <f>(M5-M6)/M11</f>
        <v>101.5480093676815</v>
      </c>
      <c r="N13" s="49"/>
      <c r="P13" s="10">
        <f>AVERAGE(B13:N13)</f>
        <v>79.027576810795054</v>
      </c>
    </row>
    <row r="14" spans="1:16" ht="31.7" customHeight="1">
      <c r="A14" s="15" t="s">
        <v>38</v>
      </c>
      <c r="B14" s="12">
        <f>(B5-B6-B7)/B11</f>
        <v>81.453731343283579</v>
      </c>
      <c r="C14" s="12">
        <f>(C5-C6-C7)/C11</f>
        <v>75.650116279069763</v>
      </c>
      <c r="D14" s="12">
        <f>(D5-D6-D7)/D11</f>
        <v>82.509350649350651</v>
      </c>
      <c r="E14" s="12">
        <f>(E5-E6-E7)/E11</f>
        <v>78.370542635658907</v>
      </c>
      <c r="F14" s="12">
        <f>(F5-F6-F7)/F11</f>
        <v>66.664925373134338</v>
      </c>
      <c r="G14" s="12">
        <f>(G5-G6-G7)/G11</f>
        <v>81.2527397260274</v>
      </c>
      <c r="H14" s="12">
        <f>(H5-H6-H7)/H11</f>
        <v>74.227622950819679</v>
      </c>
      <c r="I14" s="12">
        <f>(I5-I6-I7)/I11</f>
        <v>74.265683453237415</v>
      </c>
      <c r="J14" s="12">
        <f>(J5-J6-J7)/J11</f>
        <v>84.004793388429746</v>
      </c>
      <c r="K14" s="12">
        <f>(K5-K6-K7)/K11</f>
        <v>65.474354838709672</v>
      </c>
      <c r="L14" s="89">
        <f>(L5-L6-L7)/L11</f>
        <v>82.909051724137939</v>
      </c>
      <c r="M14" s="89">
        <f>(M5-M6-M7)/M11</f>
        <v>101.5480093676815</v>
      </c>
      <c r="N14" s="49"/>
      <c r="P14" s="10">
        <f>AVERAGE(B14:N14)</f>
        <v>79.027576810795054</v>
      </c>
    </row>
    <row r="15" spans="1:16" ht="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P15" s="14"/>
    </row>
    <row r="16" spans="1:16" ht="30" customHeight="1">
      <c r="A16" s="15" t="s">
        <v>39</v>
      </c>
      <c r="B16" s="12">
        <f>B12-B14</f>
        <v>0</v>
      </c>
      <c r="C16" s="12">
        <f>C12-C14</f>
        <v>0</v>
      </c>
      <c r="D16" s="12">
        <f>D12-D14</f>
        <v>0</v>
      </c>
      <c r="E16" s="12">
        <f>E12-E14</f>
        <v>0</v>
      </c>
      <c r="F16" s="12">
        <f>F12-F14</f>
        <v>0</v>
      </c>
      <c r="G16" s="12">
        <f>G12-G14</f>
        <v>0</v>
      </c>
      <c r="H16" s="12">
        <f>H12-H14</f>
        <v>0</v>
      </c>
      <c r="I16" s="12">
        <f>I12-I14</f>
        <v>0</v>
      </c>
      <c r="J16" s="12">
        <f>J12-J14</f>
        <v>0</v>
      </c>
      <c r="K16" s="12">
        <f>K12-K14</f>
        <v>0</v>
      </c>
      <c r="L16" s="89">
        <f>L12-L14</f>
        <v>0</v>
      </c>
      <c r="M16" s="89">
        <f>M12-M14</f>
        <v>0</v>
      </c>
      <c r="N16" s="49"/>
      <c r="P16" s="10">
        <f>SUM(B16:N16)</f>
        <v>0</v>
      </c>
    </row>
    <row r="17" spans="1:16" ht="30" customHeight="1">
      <c r="A17" s="15" t="s">
        <v>40</v>
      </c>
      <c r="B17" s="12">
        <f>B13-B14</f>
        <v>0</v>
      </c>
      <c r="C17" s="12">
        <f>C13-C14</f>
        <v>0</v>
      </c>
      <c r="D17" s="12">
        <f>D13-D14</f>
        <v>0</v>
      </c>
      <c r="E17" s="12">
        <f>E13-E14</f>
        <v>0</v>
      </c>
      <c r="F17" s="12">
        <f>F13-F14</f>
        <v>0</v>
      </c>
      <c r="G17" s="12">
        <f>G13-G14</f>
        <v>0</v>
      </c>
      <c r="H17" s="12">
        <f>H13-H14</f>
        <v>0</v>
      </c>
      <c r="I17" s="12">
        <f>I13-I14</f>
        <v>0</v>
      </c>
      <c r="J17" s="12">
        <f>J13-J14</f>
        <v>0</v>
      </c>
      <c r="K17" s="12">
        <f>K13-K14</f>
        <v>0</v>
      </c>
      <c r="L17" s="89">
        <f>L13-L14</f>
        <v>0</v>
      </c>
      <c r="M17" s="89">
        <f>M13-M14</f>
        <v>0</v>
      </c>
      <c r="N17" s="51"/>
      <c r="P17" s="10">
        <f>SUM(B17:N17)</f>
        <v>0</v>
      </c>
    </row>
    <row r="18" spans="1:16">
      <c r="A18" s="41" t="s">
        <v>41</v>
      </c>
      <c r="B18" s="42">
        <f>B5/B11</f>
        <v>81.453731343283579</v>
      </c>
      <c r="C18" s="42">
        <f>C5/C11</f>
        <v>75.650116279069763</v>
      </c>
      <c r="D18" s="42">
        <f>D5/D11</f>
        <v>82.509350649350651</v>
      </c>
      <c r="E18" s="42">
        <f>E5/E11</f>
        <v>78.370542635658907</v>
      </c>
      <c r="F18" s="42">
        <f>F5/F11</f>
        <v>66.664925373134338</v>
      </c>
      <c r="G18" s="42">
        <f>G5/G11</f>
        <v>81.2527397260274</v>
      </c>
      <c r="H18" s="42">
        <f>H5/H11</f>
        <v>74.227622950819679</v>
      </c>
      <c r="I18" s="42">
        <f>I5/I11</f>
        <v>74.265683453237415</v>
      </c>
      <c r="J18" s="42">
        <f>J5/J11</f>
        <v>84.004793388429746</v>
      </c>
      <c r="K18" s="42">
        <f>K5/K11</f>
        <v>65.474354838709672</v>
      </c>
      <c r="L18" s="97">
        <f>L5/L11</f>
        <v>82.909051724137939</v>
      </c>
      <c r="M18" s="97">
        <f>M5/M11</f>
        <v>101.5480093676815</v>
      </c>
      <c r="N18" s="52"/>
      <c r="P18" s="10">
        <f>P5/P11</f>
        <v>82.87088585017834</v>
      </c>
    </row>
    <row r="19" spans="1:16">
      <c r="P19" s="10"/>
    </row>
    <row r="20" spans="1:16">
      <c r="A20" s="22" t="s">
        <v>42</v>
      </c>
      <c r="B20" s="22" t="s">
        <v>2</v>
      </c>
      <c r="C20" s="22" t="s">
        <v>3</v>
      </c>
      <c r="D20" s="22" t="s">
        <v>4</v>
      </c>
      <c r="E20" s="22" t="s">
        <v>5</v>
      </c>
      <c r="F20" s="22" t="s">
        <v>6</v>
      </c>
      <c r="G20" s="22" t="s">
        <v>7</v>
      </c>
      <c r="H20" s="22" t="s">
        <v>8</v>
      </c>
      <c r="I20" s="22" t="s">
        <v>9</v>
      </c>
      <c r="J20" s="22" t="s">
        <v>10</v>
      </c>
      <c r="K20" s="22" t="s">
        <v>11</v>
      </c>
      <c r="L20" s="22" t="s">
        <v>12</v>
      </c>
      <c r="M20" s="22" t="s">
        <v>13</v>
      </c>
      <c r="N20" s="22"/>
      <c r="P20" s="2"/>
    </row>
    <row r="21" spans="1:16" ht="78.75" customHeight="1">
      <c r="A21" s="23" t="s">
        <v>15</v>
      </c>
      <c r="B21" s="24" t="s">
        <v>16</v>
      </c>
      <c r="C21" s="24" t="s">
        <v>16</v>
      </c>
      <c r="D21" s="24" t="s">
        <v>16</v>
      </c>
      <c r="E21" s="24" t="s">
        <v>16</v>
      </c>
      <c r="F21" s="24" t="s">
        <v>16</v>
      </c>
      <c r="G21" s="24" t="s">
        <v>16</v>
      </c>
      <c r="H21" s="24" t="s">
        <v>16</v>
      </c>
      <c r="I21" s="24" t="s">
        <v>16</v>
      </c>
      <c r="J21" s="24" t="s">
        <v>16</v>
      </c>
      <c r="K21" s="24" t="s">
        <v>16</v>
      </c>
      <c r="L21" s="24" t="s">
        <v>16</v>
      </c>
      <c r="M21" s="24" t="s">
        <v>16</v>
      </c>
      <c r="N21" s="24"/>
      <c r="P21" s="5"/>
    </row>
    <row r="22" spans="1:16">
      <c r="A22" s="25" t="s">
        <v>17</v>
      </c>
      <c r="B22" s="33" t="s">
        <v>18</v>
      </c>
      <c r="C22" s="33" t="s">
        <v>19</v>
      </c>
      <c r="D22" s="33" t="s">
        <v>20</v>
      </c>
      <c r="E22" s="33" t="s">
        <v>21</v>
      </c>
      <c r="F22" s="33" t="s">
        <v>22</v>
      </c>
      <c r="G22" s="33" t="s">
        <v>23</v>
      </c>
      <c r="H22" s="33" t="s">
        <v>24</v>
      </c>
      <c r="I22" s="33" t="s">
        <v>25</v>
      </c>
      <c r="J22" s="33" t="s">
        <v>26</v>
      </c>
      <c r="K22" s="33" t="s">
        <v>27</v>
      </c>
      <c r="L22" s="33" t="s">
        <v>28</v>
      </c>
      <c r="M22" s="33" t="s">
        <v>29</v>
      </c>
      <c r="N22" s="33"/>
      <c r="P22" s="7"/>
    </row>
    <row r="23" spans="1:16">
      <c r="A23" s="26" t="s">
        <v>43</v>
      </c>
      <c r="B23" s="27">
        <v>121247.91</v>
      </c>
      <c r="C23" s="27">
        <v>133420.87</v>
      </c>
      <c r="D23" s="27">
        <v>156710.22</v>
      </c>
      <c r="E23" s="27">
        <v>151251.5</v>
      </c>
      <c r="F23" s="27">
        <v>141722.38</v>
      </c>
      <c r="G23" s="27">
        <v>114191.94</v>
      </c>
      <c r="H23" s="27">
        <v>138025.23000000001</v>
      </c>
      <c r="I23" s="27">
        <v>141757.1</v>
      </c>
      <c r="J23" s="27">
        <v>133644.09</v>
      </c>
      <c r="K23" s="27">
        <v>159827.60999999999</v>
      </c>
      <c r="L23" s="27">
        <v>152056.04</v>
      </c>
      <c r="M23" s="27">
        <v>180009.38</v>
      </c>
      <c r="N23" s="27"/>
      <c r="P23" s="16">
        <f>SUM(B23:N23)</f>
        <v>1723864.27</v>
      </c>
    </row>
    <row r="24" spans="1:16">
      <c r="A24" s="28" t="s">
        <v>44</v>
      </c>
      <c r="B24" s="29">
        <v>0.13200000000000001</v>
      </c>
      <c r="C24" s="29">
        <v>0.12529999999999999</v>
      </c>
      <c r="D24" s="29">
        <v>0.13250000000000001</v>
      </c>
      <c r="E24" s="29">
        <v>0.13719999999999999</v>
      </c>
      <c r="F24" s="29">
        <v>0.13639999999999999</v>
      </c>
      <c r="G24" s="29">
        <v>0.1268</v>
      </c>
      <c r="H24" s="29">
        <v>0.12529999999999999</v>
      </c>
      <c r="I24" s="29">
        <v>0.13089999999999999</v>
      </c>
      <c r="J24" s="29">
        <v>0.12540000000000001</v>
      </c>
      <c r="K24" s="29">
        <v>0.11509999999999999</v>
      </c>
      <c r="L24" s="29">
        <v>0.1187</v>
      </c>
      <c r="M24" s="29">
        <v>0.12039999999999999</v>
      </c>
      <c r="N24" s="29"/>
      <c r="P24" s="18">
        <f>AVERAGE(B24:N24)</f>
        <v>0.12716666666666665</v>
      </c>
    </row>
    <row r="25" spans="1:16">
      <c r="A25" s="30" t="s">
        <v>45</v>
      </c>
      <c r="B25" s="31">
        <v>1790</v>
      </c>
      <c r="C25" s="31">
        <v>1834</v>
      </c>
      <c r="D25" s="31">
        <v>2287</v>
      </c>
      <c r="E25" s="31">
        <v>2190</v>
      </c>
      <c r="F25" s="31">
        <v>2040</v>
      </c>
      <c r="G25" s="31">
        <v>1678</v>
      </c>
      <c r="H25" s="31">
        <v>2121</v>
      </c>
      <c r="I25" s="31">
        <v>2107</v>
      </c>
      <c r="J25" s="31">
        <v>2054</v>
      </c>
      <c r="K25" s="31">
        <v>2377</v>
      </c>
      <c r="L25" s="31">
        <v>2196</v>
      </c>
      <c r="M25" s="31">
        <v>2381</v>
      </c>
      <c r="N25" s="45"/>
      <c r="P25" s="21">
        <f>SUM(B25:N25)</f>
        <v>25055</v>
      </c>
    </row>
    <row r="26" spans="1:16">
      <c r="A26" s="35" t="s">
        <v>46</v>
      </c>
      <c r="B26" s="27">
        <v>12528.99</v>
      </c>
      <c r="C26" s="27">
        <v>12830.96</v>
      </c>
      <c r="D26" s="27">
        <v>16006.96</v>
      </c>
      <c r="E26" s="27">
        <f>7*E25</f>
        <v>15330</v>
      </c>
      <c r="F26" s="27">
        <f>7*F25</f>
        <v>14280</v>
      </c>
      <c r="G26" s="27">
        <v>11746</v>
      </c>
      <c r="H26" s="27">
        <v>14840.85</v>
      </c>
      <c r="I26" s="27">
        <v>14736.67</v>
      </c>
      <c r="J26" s="27"/>
      <c r="K26" s="27"/>
      <c r="L26" s="27"/>
      <c r="M26" s="27"/>
      <c r="N26" s="46"/>
      <c r="P26" s="36">
        <f>SUM(B26:N26)</f>
        <v>112300.43000000001</v>
      </c>
    </row>
    <row r="27" spans="1:16">
      <c r="A27" s="35" t="s">
        <v>41</v>
      </c>
      <c r="B27" s="38">
        <f t="shared" ref="B27:D27" si="0">B23/B25</f>
        <v>67.736262569832405</v>
      </c>
      <c r="C27" s="38">
        <f t="shared" si="0"/>
        <v>72.74856597600872</v>
      </c>
      <c r="D27" s="38">
        <f t="shared" si="0"/>
        <v>68.522177525142112</v>
      </c>
      <c r="E27" s="38">
        <f>E23/E25</f>
        <v>69.064611872146116</v>
      </c>
      <c r="F27" s="38">
        <f>F23/F25</f>
        <v>69.471754901960793</v>
      </c>
      <c r="G27" s="38">
        <f>G23/G25</f>
        <v>68.052407628128719</v>
      </c>
      <c r="H27" s="38">
        <f>H23/H25</f>
        <v>65.075544554455448</v>
      </c>
      <c r="I27" s="38">
        <f>I23/I25</f>
        <v>67.279117228286665</v>
      </c>
      <c r="J27" s="38">
        <f t="shared" ref="J27:K27" si="1">J23/J25</f>
        <v>65.065282375851993</v>
      </c>
      <c r="K27" s="38">
        <f t="shared" si="1"/>
        <v>67.239213294068151</v>
      </c>
      <c r="L27" s="38">
        <f>L23/L25</f>
        <v>69.242276867030967</v>
      </c>
      <c r="M27" s="38">
        <f>M23/M25</f>
        <v>75.602427551448969</v>
      </c>
      <c r="N27" s="47"/>
      <c r="P27" s="37">
        <f>P23/P25</f>
        <v>68.803203751746153</v>
      </c>
    </row>
    <row r="29" spans="1:16">
      <c r="A29" s="44" t="s">
        <v>47</v>
      </c>
    </row>
    <row r="30" spans="1:16">
      <c r="A30" s="1" t="s">
        <v>1</v>
      </c>
      <c r="B30" s="1" t="s">
        <v>48</v>
      </c>
      <c r="C30" s="1" t="s">
        <v>49</v>
      </c>
      <c r="D30" s="1" t="s">
        <v>50</v>
      </c>
      <c r="E30" s="1" t="s">
        <v>51</v>
      </c>
      <c r="F30" s="1" t="s">
        <v>52</v>
      </c>
      <c r="G30" s="1"/>
      <c r="H30" s="1"/>
    </row>
    <row r="31" spans="1:16" ht="60.75">
      <c r="A31" s="3" t="s">
        <v>15</v>
      </c>
      <c r="B31" s="17" t="s">
        <v>53</v>
      </c>
      <c r="C31" s="17" t="s">
        <v>54</v>
      </c>
      <c r="D31" s="17" t="s">
        <v>53</v>
      </c>
      <c r="E31" s="17" t="s">
        <v>55</v>
      </c>
      <c r="F31" s="80" t="s">
        <v>56</v>
      </c>
      <c r="G31" s="17"/>
      <c r="H31" s="17"/>
    </row>
    <row r="32" spans="1:16">
      <c r="A32" s="6" t="s">
        <v>17</v>
      </c>
      <c r="B32" s="32" t="s">
        <v>57</v>
      </c>
      <c r="C32" s="32" t="s">
        <v>57</v>
      </c>
      <c r="D32" s="32" t="s">
        <v>57</v>
      </c>
      <c r="E32" s="32" t="s">
        <v>58</v>
      </c>
      <c r="F32" s="32" t="s">
        <v>59</v>
      </c>
      <c r="G32" s="32"/>
      <c r="H32" s="32"/>
    </row>
    <row r="33" spans="1:8">
      <c r="A33" s="8" t="s">
        <v>30</v>
      </c>
      <c r="B33" s="9">
        <v>1890.54</v>
      </c>
      <c r="C33" s="9">
        <v>362.31</v>
      </c>
      <c r="D33" s="9">
        <v>1330</v>
      </c>
      <c r="E33" s="9">
        <v>561.5</v>
      </c>
      <c r="F33" s="9">
        <v>704.34</v>
      </c>
      <c r="G33" s="9"/>
      <c r="H33" s="48"/>
    </row>
    <row r="34" spans="1:8">
      <c r="A34" s="11" t="s">
        <v>31</v>
      </c>
      <c r="B34" s="12"/>
      <c r="C34" s="12"/>
      <c r="D34" s="12"/>
      <c r="E34" s="12"/>
      <c r="F34" s="12"/>
      <c r="G34" s="12"/>
      <c r="H34" s="49"/>
    </row>
    <row r="35" spans="1:8">
      <c r="A35" s="11" t="s">
        <v>32</v>
      </c>
      <c r="B35" s="12"/>
      <c r="C35" s="12"/>
      <c r="D35" s="12"/>
      <c r="E35" s="12"/>
      <c r="F35" s="12"/>
      <c r="G35" s="12"/>
      <c r="H35" s="49"/>
    </row>
    <row r="36" spans="1:8">
      <c r="A36" s="11" t="s">
        <v>33</v>
      </c>
      <c r="B36" s="12"/>
      <c r="C36" s="12"/>
      <c r="D36" s="12"/>
      <c r="E36" s="12"/>
      <c r="F36" s="12"/>
      <c r="G36" s="12"/>
      <c r="H36" s="49"/>
    </row>
    <row r="37" spans="1:8">
      <c r="A37" s="11" t="s">
        <v>34</v>
      </c>
      <c r="B37" s="12">
        <f t="shared" ref="B37:E37" si="2">B33-B34-B35</f>
        <v>1890.54</v>
      </c>
      <c r="C37" s="12">
        <f t="shared" si="2"/>
        <v>362.31</v>
      </c>
      <c r="D37" s="12">
        <f t="shared" si="2"/>
        <v>1330</v>
      </c>
      <c r="E37" s="12">
        <f t="shared" si="2"/>
        <v>561.5</v>
      </c>
      <c r="F37" s="12">
        <f>F33-F34-F35</f>
        <v>704.34</v>
      </c>
      <c r="G37" s="12"/>
      <c r="H37" s="49"/>
    </row>
    <row r="38" spans="1:8">
      <c r="A38" s="13"/>
      <c r="B38" s="13"/>
      <c r="C38" s="13"/>
      <c r="D38" s="13"/>
      <c r="E38" s="13"/>
      <c r="F38" s="13"/>
      <c r="G38" s="13"/>
      <c r="H38" s="13"/>
    </row>
    <row r="39" spans="1:8">
      <c r="A39" s="11" t="s">
        <v>35</v>
      </c>
      <c r="B39" s="20">
        <v>29</v>
      </c>
      <c r="C39" s="20">
        <v>4</v>
      </c>
      <c r="D39" s="20">
        <v>16</v>
      </c>
      <c r="E39" s="20">
        <v>9</v>
      </c>
      <c r="F39" s="20">
        <v>9</v>
      </c>
      <c r="G39" s="20"/>
      <c r="H39" s="50"/>
    </row>
    <row r="40" spans="1:8">
      <c r="A40" s="11" t="s">
        <v>36</v>
      </c>
      <c r="B40" s="12">
        <f t="shared" ref="B40:E40" si="3">B33/B39</f>
        <v>65.191034482758624</v>
      </c>
      <c r="C40" s="12">
        <f t="shared" si="3"/>
        <v>90.577500000000001</v>
      </c>
      <c r="D40" s="12">
        <f t="shared" si="3"/>
        <v>83.125</v>
      </c>
      <c r="E40" s="12">
        <f t="shared" si="3"/>
        <v>62.388888888888886</v>
      </c>
      <c r="F40" s="12">
        <f>F33/F39</f>
        <v>78.260000000000005</v>
      </c>
      <c r="G40" s="12"/>
      <c r="H40" s="49"/>
    </row>
    <row r="41" spans="1:8">
      <c r="A41" s="11" t="s">
        <v>37</v>
      </c>
      <c r="B41" s="12">
        <f t="shared" ref="B41:E41" si="4">(B33-B34)/B39</f>
        <v>65.191034482758624</v>
      </c>
      <c r="C41" s="12">
        <f t="shared" si="4"/>
        <v>90.577500000000001</v>
      </c>
      <c r="D41" s="12">
        <f t="shared" si="4"/>
        <v>83.125</v>
      </c>
      <c r="E41" s="12">
        <f t="shared" si="4"/>
        <v>62.388888888888886</v>
      </c>
      <c r="F41" s="12">
        <f>(F33-F34)/F39</f>
        <v>78.260000000000005</v>
      </c>
      <c r="G41" s="12"/>
      <c r="H41" s="49"/>
    </row>
    <row r="42" spans="1:8" ht="30.75">
      <c r="A42" s="15" t="s">
        <v>38</v>
      </c>
      <c r="B42" s="12">
        <f t="shared" ref="B42:E42" si="5">(B33-B34-B35)/B39</f>
        <v>65.191034482758624</v>
      </c>
      <c r="C42" s="12">
        <f t="shared" si="5"/>
        <v>90.577500000000001</v>
      </c>
      <c r="D42" s="12">
        <f t="shared" si="5"/>
        <v>83.125</v>
      </c>
      <c r="E42" s="12">
        <f t="shared" si="5"/>
        <v>62.388888888888886</v>
      </c>
      <c r="F42" s="12">
        <f>(F33-F34-F35)/F39</f>
        <v>78.260000000000005</v>
      </c>
      <c r="G42" s="12"/>
      <c r="H42" s="49"/>
    </row>
    <row r="43" spans="1:8">
      <c r="A43" s="13"/>
      <c r="B43" s="13"/>
      <c r="C43" s="13"/>
      <c r="D43" s="13"/>
      <c r="E43" s="13"/>
      <c r="F43" s="13"/>
      <c r="G43" s="13"/>
      <c r="H43" s="13"/>
    </row>
    <row r="44" spans="1:8" ht="30.75">
      <c r="A44" s="15" t="s">
        <v>39</v>
      </c>
      <c r="B44" s="12">
        <f t="shared" ref="B44:E44" si="6">B40-B42</f>
        <v>0</v>
      </c>
      <c r="C44" s="12">
        <f t="shared" si="6"/>
        <v>0</v>
      </c>
      <c r="D44" s="12">
        <f t="shared" si="6"/>
        <v>0</v>
      </c>
      <c r="E44" s="12">
        <f t="shared" si="6"/>
        <v>0</v>
      </c>
      <c r="F44" s="12">
        <f>F40-F42</f>
        <v>0</v>
      </c>
      <c r="G44" s="12"/>
      <c r="H44" s="49"/>
    </row>
    <row r="45" spans="1:8" ht="30.75">
      <c r="A45" s="15" t="s">
        <v>40</v>
      </c>
      <c r="B45" s="12">
        <f t="shared" ref="B45:E45" si="7">B41-B42</f>
        <v>0</v>
      </c>
      <c r="C45" s="12">
        <f t="shared" si="7"/>
        <v>0</v>
      </c>
      <c r="D45" s="12">
        <f t="shared" si="7"/>
        <v>0</v>
      </c>
      <c r="E45" s="12">
        <f t="shared" si="7"/>
        <v>0</v>
      </c>
      <c r="F45" s="12">
        <f>F41-F42</f>
        <v>0</v>
      </c>
      <c r="G45" s="43"/>
      <c r="H45" s="51"/>
    </row>
    <row r="46" spans="1:8">
      <c r="A46" s="41" t="s">
        <v>41</v>
      </c>
      <c r="B46" s="42">
        <f t="shared" ref="B46:F46" si="8">B33/B39</f>
        <v>65.191034482758624</v>
      </c>
      <c r="C46" s="42">
        <f t="shared" si="8"/>
        <v>90.577500000000001</v>
      </c>
      <c r="D46" s="42">
        <f t="shared" si="8"/>
        <v>83.125</v>
      </c>
      <c r="E46" s="42">
        <f t="shared" si="8"/>
        <v>62.388888888888886</v>
      </c>
      <c r="F46" s="42">
        <f t="shared" si="8"/>
        <v>78.260000000000005</v>
      </c>
      <c r="G46" s="42"/>
      <c r="H46" s="52"/>
    </row>
    <row r="48" spans="1:8">
      <c r="A48" s="22" t="s">
        <v>42</v>
      </c>
      <c r="B48" s="22" t="s">
        <v>48</v>
      </c>
      <c r="C48" s="22" t="s">
        <v>49</v>
      </c>
      <c r="D48" s="22" t="s">
        <v>50</v>
      </c>
      <c r="E48" s="22" t="s">
        <v>51</v>
      </c>
      <c r="F48" s="22" t="s">
        <v>52</v>
      </c>
      <c r="G48" s="22"/>
      <c r="H48" s="22"/>
    </row>
    <row r="49" spans="1:8" ht="60.75">
      <c r="A49" s="23" t="s">
        <v>15</v>
      </c>
      <c r="B49" s="24" t="s">
        <v>53</v>
      </c>
      <c r="C49" s="24" t="s">
        <v>54</v>
      </c>
      <c r="D49" s="24" t="s">
        <v>53</v>
      </c>
      <c r="E49" s="24" t="s">
        <v>55</v>
      </c>
      <c r="F49" s="81" t="s">
        <v>56</v>
      </c>
      <c r="G49" s="24"/>
      <c r="H49" s="24"/>
    </row>
    <row r="50" spans="1:8">
      <c r="A50" s="25" t="s">
        <v>17</v>
      </c>
      <c r="B50" s="33" t="s">
        <v>57</v>
      </c>
      <c r="C50" s="33" t="s">
        <v>57</v>
      </c>
      <c r="D50" s="33" t="s">
        <v>57</v>
      </c>
      <c r="E50" s="33" t="s">
        <v>58</v>
      </c>
      <c r="F50" s="33" t="s">
        <v>59</v>
      </c>
      <c r="G50" s="33"/>
      <c r="H50" s="33"/>
    </row>
    <row r="51" spans="1:8">
      <c r="A51" s="26" t="s">
        <v>43</v>
      </c>
      <c r="B51" s="27">
        <v>10991.1</v>
      </c>
      <c r="C51" s="27">
        <v>2634.44</v>
      </c>
      <c r="D51" s="27">
        <v>8079.12</v>
      </c>
      <c r="E51" s="27">
        <v>9631.5499999999993</v>
      </c>
      <c r="F51" s="27">
        <v>2239.3000000000002</v>
      </c>
      <c r="G51" s="27"/>
      <c r="H51" s="27"/>
    </row>
    <row r="52" spans="1:8">
      <c r="A52" s="28" t="s">
        <v>44</v>
      </c>
      <c r="B52" s="29">
        <v>0.1134</v>
      </c>
      <c r="C52" s="29">
        <v>0.1595</v>
      </c>
      <c r="D52" s="29">
        <v>0.189</v>
      </c>
      <c r="E52" s="29">
        <v>8.6499999999999994E-2</v>
      </c>
      <c r="F52" s="29">
        <v>0.1331</v>
      </c>
      <c r="G52" s="29"/>
      <c r="H52" s="29"/>
    </row>
    <row r="53" spans="1:8">
      <c r="A53" s="30" t="s">
        <v>45</v>
      </c>
      <c r="B53" s="31">
        <v>140</v>
      </c>
      <c r="C53" s="31">
        <v>21</v>
      </c>
      <c r="D53" s="31">
        <v>130</v>
      </c>
      <c r="E53" s="31">
        <v>205</v>
      </c>
      <c r="F53" s="31">
        <v>34</v>
      </c>
      <c r="G53" s="31"/>
      <c r="H53" s="31"/>
    </row>
    <row r="54" spans="1:8">
      <c r="A54" s="35" t="s">
        <v>46</v>
      </c>
      <c r="B54" s="27">
        <v>1240</v>
      </c>
      <c r="C54" s="27">
        <v>92</v>
      </c>
      <c r="D54" s="27"/>
      <c r="E54" s="27">
        <v>1245</v>
      </c>
      <c r="F54" s="82"/>
      <c r="G54" s="40"/>
      <c r="H54" s="40"/>
    </row>
    <row r="55" spans="1:8">
      <c r="A55" s="35" t="s">
        <v>41</v>
      </c>
      <c r="B55" s="38">
        <f t="shared" ref="B55:C55" si="9">B51/B53</f>
        <v>78.507857142857148</v>
      </c>
      <c r="C55" s="38">
        <f t="shared" si="9"/>
        <v>125.44952380952381</v>
      </c>
      <c r="D55" s="38">
        <f>D51/D53</f>
        <v>62.147076923076924</v>
      </c>
      <c r="E55" s="38">
        <f t="shared" ref="E55:F55" si="10">E51/E53</f>
        <v>46.983170731707311</v>
      </c>
      <c r="F55" s="38">
        <f t="shared" si="10"/>
        <v>65.861764705882365</v>
      </c>
      <c r="G55" s="38"/>
      <c r="H55" s="38"/>
    </row>
    <row r="57" spans="1:8">
      <c r="A57" s="44" t="s">
        <v>60</v>
      </c>
    </row>
    <row r="58" spans="1:8">
      <c r="A58" s="1" t="s">
        <v>1</v>
      </c>
      <c r="B58" s="1"/>
      <c r="C58" s="1"/>
      <c r="D58" s="1"/>
      <c r="E58" s="1"/>
      <c r="F58" s="1"/>
      <c r="G58" s="1"/>
    </row>
    <row r="59" spans="1:8">
      <c r="A59" s="3" t="s">
        <v>15</v>
      </c>
      <c r="B59" s="17"/>
      <c r="C59" s="17"/>
      <c r="D59" s="17"/>
      <c r="E59" s="17"/>
      <c r="F59" s="17"/>
      <c r="G59" s="17"/>
    </row>
    <row r="60" spans="1:8">
      <c r="A60" s="6" t="s">
        <v>17</v>
      </c>
      <c r="B60" s="32"/>
      <c r="C60" s="32"/>
      <c r="D60" s="32"/>
      <c r="E60" s="32"/>
      <c r="F60" s="32"/>
      <c r="G60" s="32"/>
    </row>
    <row r="61" spans="1:8">
      <c r="A61" s="8" t="s">
        <v>30</v>
      </c>
      <c r="B61" s="9"/>
      <c r="C61" s="9"/>
      <c r="D61" s="9"/>
      <c r="E61" s="9"/>
      <c r="F61" s="9"/>
      <c r="G61" s="9"/>
    </row>
    <row r="62" spans="1:8">
      <c r="A62" s="11" t="s">
        <v>31</v>
      </c>
      <c r="B62" s="12"/>
      <c r="C62" s="12"/>
      <c r="D62" s="12"/>
      <c r="E62" s="12"/>
      <c r="F62" s="12"/>
      <c r="G62" s="12"/>
    </row>
    <row r="63" spans="1:8">
      <c r="A63" s="11" t="s">
        <v>32</v>
      </c>
      <c r="B63" s="12"/>
      <c r="C63" s="12"/>
      <c r="D63" s="12"/>
      <c r="E63" s="12"/>
      <c r="F63" s="12"/>
      <c r="G63" s="12"/>
    </row>
    <row r="64" spans="1:8">
      <c r="A64" s="11" t="s">
        <v>33</v>
      </c>
      <c r="B64" s="12"/>
      <c r="C64" s="12"/>
      <c r="D64" s="12"/>
      <c r="E64" s="12"/>
      <c r="F64" s="12"/>
      <c r="G64" s="12"/>
    </row>
    <row r="65" spans="1:7">
      <c r="A65" s="11" t="s">
        <v>34</v>
      </c>
      <c r="B65" s="12"/>
      <c r="C65" s="12"/>
      <c r="D65" s="12"/>
      <c r="E65" s="12"/>
      <c r="F65" s="12"/>
      <c r="G65" s="12"/>
    </row>
    <row r="66" spans="1:7">
      <c r="A66" s="13"/>
      <c r="B66" s="13"/>
      <c r="C66" s="13"/>
      <c r="D66" s="13"/>
      <c r="E66" s="13"/>
      <c r="F66" s="13"/>
      <c r="G66" s="13"/>
    </row>
    <row r="67" spans="1:7">
      <c r="A67" s="11" t="s">
        <v>35</v>
      </c>
      <c r="B67" s="20"/>
      <c r="C67" s="20"/>
      <c r="D67" s="20"/>
      <c r="E67" s="20"/>
      <c r="F67" s="20"/>
      <c r="G67" s="20"/>
    </row>
    <row r="68" spans="1:7">
      <c r="A68" s="11" t="s">
        <v>36</v>
      </c>
      <c r="B68" s="12"/>
      <c r="C68" s="12"/>
      <c r="D68" s="12"/>
      <c r="E68" s="12"/>
      <c r="F68" s="12"/>
      <c r="G68" s="12"/>
    </row>
    <row r="69" spans="1:7">
      <c r="A69" s="11" t="s">
        <v>37</v>
      </c>
      <c r="B69" s="12"/>
      <c r="C69" s="12"/>
      <c r="D69" s="12"/>
      <c r="E69" s="12"/>
      <c r="F69" s="12"/>
      <c r="G69" s="12"/>
    </row>
    <row r="70" spans="1:7" ht="30.2">
      <c r="A70" s="15" t="s">
        <v>38</v>
      </c>
      <c r="B70" s="12"/>
      <c r="C70" s="12"/>
      <c r="D70" s="12"/>
      <c r="E70" s="12"/>
      <c r="F70" s="12"/>
      <c r="G70" s="12"/>
    </row>
    <row r="71" spans="1:7">
      <c r="A71" s="13"/>
      <c r="B71" s="13"/>
      <c r="C71" s="13"/>
      <c r="D71" s="13"/>
      <c r="E71" s="13"/>
      <c r="F71" s="13"/>
      <c r="G71" s="13"/>
    </row>
    <row r="72" spans="1:7" ht="30.2">
      <c r="A72" s="15" t="s">
        <v>39</v>
      </c>
      <c r="B72" s="12"/>
      <c r="C72" s="12"/>
      <c r="D72" s="12"/>
      <c r="E72" s="12"/>
      <c r="F72" s="12"/>
      <c r="G72" s="12"/>
    </row>
    <row r="73" spans="1:7" ht="30.2">
      <c r="A73" s="15" t="s">
        <v>40</v>
      </c>
      <c r="B73" s="12"/>
      <c r="C73" s="43"/>
      <c r="D73" s="43"/>
      <c r="E73" s="43"/>
      <c r="F73" s="43"/>
      <c r="G73" s="43"/>
    </row>
    <row r="74" spans="1:7">
      <c r="A74" s="41" t="s">
        <v>41</v>
      </c>
      <c r="B74" s="42"/>
      <c r="C74" s="42"/>
      <c r="D74" s="42"/>
      <c r="E74" s="42"/>
      <c r="F74" s="42"/>
      <c r="G74" s="42"/>
    </row>
    <row r="76" spans="1:7">
      <c r="A76" s="22" t="s">
        <v>42</v>
      </c>
      <c r="B76" s="22"/>
      <c r="C76" s="22"/>
      <c r="D76" s="22"/>
      <c r="E76" s="22"/>
      <c r="F76" s="22"/>
      <c r="G76" s="22"/>
    </row>
    <row r="77" spans="1:7">
      <c r="A77" s="23" t="s">
        <v>15</v>
      </c>
      <c r="B77" s="24"/>
      <c r="C77" s="24"/>
      <c r="D77" s="24"/>
      <c r="E77" s="24"/>
      <c r="F77" s="24"/>
      <c r="G77" s="24"/>
    </row>
    <row r="78" spans="1:7">
      <c r="A78" s="25" t="s">
        <v>17</v>
      </c>
      <c r="B78" s="33"/>
      <c r="C78" s="33"/>
      <c r="D78" s="33"/>
      <c r="E78" s="33"/>
      <c r="F78" s="33"/>
      <c r="G78" s="33"/>
    </row>
    <row r="79" spans="1:7">
      <c r="A79" s="26" t="s">
        <v>43</v>
      </c>
      <c r="B79" s="27"/>
      <c r="C79" s="27"/>
      <c r="D79" s="27"/>
      <c r="E79" s="27"/>
      <c r="F79" s="27"/>
      <c r="G79" s="27"/>
    </row>
    <row r="80" spans="1:7">
      <c r="A80" s="28" t="s">
        <v>44</v>
      </c>
      <c r="B80" s="29"/>
      <c r="C80" s="29"/>
      <c r="D80" s="29"/>
      <c r="E80" s="29"/>
      <c r="F80" s="29"/>
      <c r="G80" s="29"/>
    </row>
    <row r="81" spans="1:7">
      <c r="A81" s="30" t="s">
        <v>45</v>
      </c>
      <c r="B81" s="31"/>
      <c r="C81" s="31"/>
      <c r="D81" s="31"/>
      <c r="E81" s="31"/>
      <c r="F81" s="31"/>
      <c r="G81" s="45"/>
    </row>
    <row r="82" spans="1:7">
      <c r="A82" s="35" t="s">
        <v>46</v>
      </c>
      <c r="B82" s="27"/>
      <c r="C82" s="40"/>
      <c r="D82" s="40"/>
      <c r="E82" s="40"/>
      <c r="F82" s="39"/>
      <c r="G82" s="46"/>
    </row>
    <row r="83" spans="1:7">
      <c r="A83" s="35" t="s">
        <v>41</v>
      </c>
      <c r="B83" s="38"/>
      <c r="C83" s="38"/>
      <c r="D83" s="38"/>
      <c r="E83" s="38"/>
      <c r="F83" s="38"/>
      <c r="G83" s="47"/>
    </row>
  </sheetData>
  <conditionalFormatting sqref="B39:F39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1:F6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4:F7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1:F8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3:F33 G33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9:G39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6:G4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7:G6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9:G7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0:G8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3:G8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1:E51 G51:H51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3:H5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5:H55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I5 M5:N5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I11 M11:N11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I18 M18:N1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3:I23 M23:N23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I24 M24:N24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5:I25 M25:N25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7:N27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13ED-F749-4CD4-B2B9-76902192DCB8}">
  <dimension ref="A1:AF26"/>
  <sheetViews>
    <sheetView tabSelected="1" topLeftCell="A15" zoomScale="75" zoomScaleNormal="75" workbookViewId="0">
      <selection activeCell="H1" sqref="H1:H26"/>
    </sheetView>
  </sheetViews>
  <sheetFormatPr defaultRowHeight="15" customHeight="1"/>
  <cols>
    <col min="1" max="1" width="30.7109375" customWidth="1"/>
    <col min="2" max="8" width="20.7109375" customWidth="1"/>
    <col min="9" max="9" width="21.28515625" customWidth="1"/>
    <col min="10" max="10" width="15.85546875" customWidth="1"/>
  </cols>
  <sheetData>
    <row r="1" spans="1:32" s="2" customFormat="1">
      <c r="A1" s="85" t="s">
        <v>61</v>
      </c>
      <c r="B1" s="85" t="s">
        <v>13</v>
      </c>
      <c r="C1" s="85" t="s">
        <v>62</v>
      </c>
      <c r="D1" s="85" t="s">
        <v>63</v>
      </c>
      <c r="E1" s="85" t="s">
        <v>64</v>
      </c>
      <c r="F1" s="85" t="s">
        <v>65</v>
      </c>
      <c r="G1" s="85" t="s">
        <v>66</v>
      </c>
      <c r="H1" s="85" t="s">
        <v>67</v>
      </c>
      <c r="J1" s="2" t="s">
        <v>14</v>
      </c>
    </row>
    <row r="2" spans="1:32" s="5" customFormat="1" ht="85.7" customHeight="1">
      <c r="A2" s="91" t="s">
        <v>15</v>
      </c>
      <c r="B2" s="86" t="s">
        <v>16</v>
      </c>
      <c r="C2" s="84" t="s">
        <v>68</v>
      </c>
      <c r="D2" s="84" t="s">
        <v>69</v>
      </c>
      <c r="E2" s="84" t="s">
        <v>70</v>
      </c>
      <c r="F2" s="84" t="s">
        <v>70</v>
      </c>
      <c r="G2" s="84" t="s">
        <v>69</v>
      </c>
      <c r="H2" s="86" t="s">
        <v>71</v>
      </c>
      <c r="I2" s="4"/>
    </row>
    <row r="3" spans="1:32" s="4" customFormat="1">
      <c r="A3" s="92" t="s">
        <v>17</v>
      </c>
      <c r="B3" s="87" t="s">
        <v>29</v>
      </c>
      <c r="C3" s="87" t="s">
        <v>72</v>
      </c>
      <c r="D3" s="87" t="s">
        <v>73</v>
      </c>
      <c r="E3" s="87" t="s">
        <v>74</v>
      </c>
      <c r="F3" s="87" t="s">
        <v>74</v>
      </c>
      <c r="G3" s="87" t="s">
        <v>75</v>
      </c>
      <c r="H3" s="87" t="s">
        <v>76</v>
      </c>
      <c r="J3" s="7"/>
    </row>
    <row r="4" spans="1:32">
      <c r="A4" s="93" t="s">
        <v>30</v>
      </c>
      <c r="B4" s="88">
        <v>43361</v>
      </c>
      <c r="C4" s="88">
        <v>7351.29</v>
      </c>
      <c r="D4" s="88">
        <v>8533.14</v>
      </c>
      <c r="E4" s="88">
        <v>1792.23</v>
      </c>
      <c r="F4" s="88">
        <v>1792.23</v>
      </c>
      <c r="G4" s="88">
        <v>1080.19</v>
      </c>
      <c r="H4" s="88">
        <v>33072.910000000003</v>
      </c>
      <c r="I4" s="10"/>
      <c r="J4" s="10">
        <f>SUM(B4:H4)</f>
        <v>96982.99000000002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>
      <c r="A5" s="94" t="s">
        <v>31</v>
      </c>
      <c r="B5" s="89"/>
      <c r="C5" s="89"/>
      <c r="D5" s="89"/>
      <c r="E5" s="89"/>
      <c r="F5" s="89"/>
      <c r="G5" s="89"/>
      <c r="H5" s="89"/>
      <c r="I5" s="10"/>
      <c r="J5" s="10">
        <f>SUM(B5:B5)</f>
        <v>0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>
      <c r="A6" s="94" t="s">
        <v>32</v>
      </c>
      <c r="B6" s="89"/>
      <c r="C6" s="89"/>
      <c r="D6" s="89"/>
      <c r="E6" s="89"/>
      <c r="F6" s="89"/>
      <c r="G6" s="89"/>
      <c r="H6" s="89"/>
      <c r="I6" s="10"/>
      <c r="J6" s="10">
        <f>SUM(B6:B6)</f>
        <v>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>
      <c r="A7" s="94" t="s">
        <v>33</v>
      </c>
      <c r="B7" s="89"/>
      <c r="C7" s="89"/>
      <c r="D7" s="89"/>
      <c r="E7" s="89"/>
      <c r="F7" s="89"/>
      <c r="G7" s="89"/>
      <c r="H7" s="89"/>
      <c r="I7" s="10"/>
      <c r="J7" s="10">
        <f>SUM(B7:B7)</f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>
      <c r="A8" s="94" t="s">
        <v>34</v>
      </c>
      <c r="B8" s="89">
        <f>B4-B5-B6</f>
        <v>43361</v>
      </c>
      <c r="C8" s="89">
        <f>C4-C5-C6</f>
        <v>7351.29</v>
      </c>
      <c r="D8" s="89">
        <f>D4-D5-D6</f>
        <v>8533.14</v>
      </c>
      <c r="E8" s="89">
        <f t="shared" ref="E8:H8" si="0">E4-E5-E6</f>
        <v>1792.23</v>
      </c>
      <c r="F8" s="89">
        <f t="shared" si="0"/>
        <v>1792.23</v>
      </c>
      <c r="G8" s="89">
        <f t="shared" ref="G8" si="1">G4-G5-G6</f>
        <v>1080.19</v>
      </c>
      <c r="H8" s="89">
        <f t="shared" si="0"/>
        <v>33072.910000000003</v>
      </c>
      <c r="I8" s="10"/>
      <c r="J8" s="10">
        <f>SUM(B8:H8)</f>
        <v>96982.99000000002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1:32" s="14" customFormat="1" ht="5.45" customHeight="1">
      <c r="A9" s="13"/>
      <c r="B9" s="13"/>
      <c r="C9" s="13"/>
      <c r="D9" s="13"/>
      <c r="E9" s="13"/>
      <c r="F9" s="13"/>
      <c r="G9" s="13"/>
      <c r="H9" s="13"/>
    </row>
    <row r="10" spans="1:32">
      <c r="A10" s="94" t="s">
        <v>35</v>
      </c>
      <c r="B10" s="90">
        <v>427</v>
      </c>
      <c r="C10" s="90">
        <v>112</v>
      </c>
      <c r="D10" s="90">
        <v>88</v>
      </c>
      <c r="E10" s="90">
        <v>14</v>
      </c>
      <c r="F10" s="90">
        <v>14</v>
      </c>
      <c r="G10" s="90">
        <v>12</v>
      </c>
      <c r="H10" s="90">
        <v>418</v>
      </c>
      <c r="J10" s="34">
        <f>SUM(B10:H10)</f>
        <v>1085</v>
      </c>
    </row>
    <row r="11" spans="1:32">
      <c r="A11" s="94" t="s">
        <v>36</v>
      </c>
      <c r="B11" s="89">
        <f>B4/B10</f>
        <v>101.5480093676815</v>
      </c>
      <c r="C11" s="89">
        <f>C4/C10</f>
        <v>65.636517857142863</v>
      </c>
      <c r="D11" s="89">
        <f>D4/D10</f>
        <v>96.967499999999987</v>
      </c>
      <c r="E11" s="89">
        <f t="shared" ref="E11:H11" si="2">E4/E10</f>
        <v>128.01642857142858</v>
      </c>
      <c r="F11" s="89">
        <f t="shared" si="2"/>
        <v>128.01642857142858</v>
      </c>
      <c r="G11" s="89">
        <v>0</v>
      </c>
      <c r="H11" s="89">
        <v>0</v>
      </c>
      <c r="I11" s="10"/>
      <c r="J11" s="10">
        <f>AVERAGE(B11:H11)</f>
        <v>74.312126338240219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>
      <c r="A12" s="94" t="s">
        <v>37</v>
      </c>
      <c r="B12" s="89">
        <f>(B4-B5)/B10</f>
        <v>101.5480093676815</v>
      </c>
      <c r="C12" s="89">
        <f>(C4-C5)/C10</f>
        <v>65.636517857142863</v>
      </c>
      <c r="D12" s="89">
        <f>(D4-D5)/D10</f>
        <v>96.967499999999987</v>
      </c>
      <c r="E12" s="89">
        <f t="shared" ref="E12:H12" si="3">(E4-E5)/E10</f>
        <v>128.01642857142858</v>
      </c>
      <c r="F12" s="89">
        <f t="shared" si="3"/>
        <v>128.01642857142858</v>
      </c>
      <c r="G12" s="89">
        <v>0</v>
      </c>
      <c r="H12" s="89">
        <v>0</v>
      </c>
      <c r="I12" s="10"/>
      <c r="J12" s="10">
        <f>AVERAGE(B12:H12)</f>
        <v>74.312126338240219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spans="1:32" ht="30.75">
      <c r="A13" s="95" t="s">
        <v>38</v>
      </c>
      <c r="B13" s="89">
        <f>(B4-B5-B6)/B10</f>
        <v>101.5480093676815</v>
      </c>
      <c r="C13" s="89">
        <f>(C4-C5-C6)/C10</f>
        <v>65.636517857142863</v>
      </c>
      <c r="D13" s="89">
        <f>(D4-D5-D6)/D10</f>
        <v>96.967499999999987</v>
      </c>
      <c r="E13" s="89">
        <f t="shared" ref="E13:H13" si="4">(E4-E5-E6)/E10</f>
        <v>128.01642857142858</v>
      </c>
      <c r="F13" s="89">
        <f t="shared" si="4"/>
        <v>128.01642857142858</v>
      </c>
      <c r="G13" s="89">
        <v>0</v>
      </c>
      <c r="H13" s="89">
        <v>0</v>
      </c>
      <c r="I13" s="10"/>
      <c r="J13" s="10">
        <f>AVERAGE(B13:H13)</f>
        <v>74.312126338240219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spans="1:32" s="14" customFormat="1" ht="5.45" customHeight="1">
      <c r="A14" s="13"/>
      <c r="B14" s="13"/>
      <c r="C14" s="13"/>
      <c r="D14" s="13"/>
      <c r="E14" s="13"/>
      <c r="F14" s="13"/>
      <c r="G14" s="13"/>
      <c r="H14" s="13"/>
    </row>
    <row r="15" spans="1:32" ht="30.75">
      <c r="A15" s="95" t="s">
        <v>39</v>
      </c>
      <c r="B15" s="89">
        <f>B11-B13</f>
        <v>0</v>
      </c>
      <c r="C15" s="89">
        <f>C11-C13</f>
        <v>0</v>
      </c>
      <c r="D15" s="89">
        <f>D11-D13</f>
        <v>0</v>
      </c>
      <c r="E15" s="89">
        <f t="shared" ref="E15:H15" si="5">E11-E13</f>
        <v>0</v>
      </c>
      <c r="F15" s="89">
        <f t="shared" si="5"/>
        <v>0</v>
      </c>
      <c r="G15" s="89">
        <f t="shared" ref="G15" si="6">G11-G13</f>
        <v>0</v>
      </c>
      <c r="H15" s="89">
        <f t="shared" si="5"/>
        <v>0</v>
      </c>
      <c r="I15" s="10"/>
      <c r="J15" s="10">
        <f>SUM(B15:H15)</f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spans="1:32" ht="30.75">
      <c r="A16" s="95" t="s">
        <v>40</v>
      </c>
      <c r="B16" s="89">
        <f>B12-B13</f>
        <v>0</v>
      </c>
      <c r="C16" s="89">
        <f>C12-C13</f>
        <v>0</v>
      </c>
      <c r="D16" s="89">
        <f>D12-D13</f>
        <v>0</v>
      </c>
      <c r="E16" s="89">
        <f t="shared" ref="E16:H16" si="7">E12-E13</f>
        <v>0</v>
      </c>
      <c r="F16" s="89">
        <f t="shared" si="7"/>
        <v>0</v>
      </c>
      <c r="G16" s="89">
        <f t="shared" ref="G16" si="8">G12-G13</f>
        <v>0</v>
      </c>
      <c r="H16" s="89">
        <f t="shared" si="7"/>
        <v>0</v>
      </c>
      <c r="I16" s="10"/>
      <c r="J16" s="10">
        <f>SUM(B16:H16)</f>
        <v>0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1:32">
      <c r="A17" s="96" t="s">
        <v>41</v>
      </c>
      <c r="B17" s="97">
        <f>B4/B10</f>
        <v>101.5480093676815</v>
      </c>
      <c r="C17" s="97">
        <f>C4/C10</f>
        <v>65.636517857142863</v>
      </c>
      <c r="D17" s="97">
        <f>D4/D10</f>
        <v>96.967499999999987</v>
      </c>
      <c r="E17" s="97">
        <f t="shared" ref="E17:H17" si="9">E4/E10</f>
        <v>128.01642857142858</v>
      </c>
      <c r="F17" s="97">
        <f t="shared" si="9"/>
        <v>128.01642857142858</v>
      </c>
      <c r="G17" s="97">
        <v>0</v>
      </c>
      <c r="H17" s="97">
        <v>0</v>
      </c>
      <c r="I17" s="10"/>
      <c r="J17" s="10">
        <f>J4/J10</f>
        <v>89.385244239631348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9" spans="1:32">
      <c r="A19" s="22" t="s">
        <v>42</v>
      </c>
      <c r="B19" s="22" t="s">
        <v>13</v>
      </c>
      <c r="C19" s="22" t="s">
        <v>62</v>
      </c>
      <c r="D19" s="22" t="s">
        <v>63</v>
      </c>
      <c r="E19" s="22" t="s">
        <v>64</v>
      </c>
      <c r="F19" s="22" t="s">
        <v>65</v>
      </c>
      <c r="G19" s="22" t="s">
        <v>66</v>
      </c>
      <c r="H19" s="22" t="s">
        <v>67</v>
      </c>
      <c r="J19" s="2"/>
    </row>
    <row r="20" spans="1:32" ht="88.5" customHeight="1">
      <c r="A20" s="23" t="s">
        <v>15</v>
      </c>
      <c r="B20" s="24" t="s">
        <v>16</v>
      </c>
      <c r="C20" s="81" t="s">
        <v>68</v>
      </c>
      <c r="D20" s="81" t="s">
        <v>69</v>
      </c>
      <c r="E20" s="81" t="s">
        <v>70</v>
      </c>
      <c r="F20" s="81" t="s">
        <v>70</v>
      </c>
      <c r="G20" s="81" t="s">
        <v>69</v>
      </c>
      <c r="H20" s="24" t="s">
        <v>71</v>
      </c>
      <c r="J20" s="5"/>
      <c r="R20" s="19"/>
    </row>
    <row r="21" spans="1:32">
      <c r="A21" s="25" t="s">
        <v>17</v>
      </c>
      <c r="B21" s="33" t="s">
        <v>29</v>
      </c>
      <c r="C21" s="33" t="s">
        <v>72</v>
      </c>
      <c r="D21" s="33" t="s">
        <v>73</v>
      </c>
      <c r="E21" s="33" t="s">
        <v>74</v>
      </c>
      <c r="F21" s="33" t="s">
        <v>74</v>
      </c>
      <c r="G21" s="33" t="s">
        <v>75</v>
      </c>
      <c r="H21" s="33" t="s">
        <v>76</v>
      </c>
      <c r="J21" s="7"/>
    </row>
    <row r="22" spans="1:32" s="16" customFormat="1">
      <c r="A22" s="26" t="s">
        <v>43</v>
      </c>
      <c r="B22" s="27">
        <v>180009.38</v>
      </c>
      <c r="C22" s="27">
        <v>26232.98</v>
      </c>
      <c r="D22" s="27">
        <v>64374.41</v>
      </c>
      <c r="E22" s="27">
        <v>29626.7</v>
      </c>
      <c r="F22" s="27">
        <v>14463.88</v>
      </c>
      <c r="G22" s="27">
        <v>65874.12</v>
      </c>
      <c r="H22" s="27">
        <v>61455.1</v>
      </c>
      <c r="J22" s="16">
        <f>SUM(B22:H22)</f>
        <v>442036.57</v>
      </c>
    </row>
    <row r="23" spans="1:32" s="18" customFormat="1">
      <c r="A23" s="28" t="s">
        <v>44</v>
      </c>
      <c r="B23" s="29">
        <v>0.12039999999999999</v>
      </c>
      <c r="C23" s="29">
        <v>0.222</v>
      </c>
      <c r="D23" s="29">
        <v>9.8900000000000002E-2</v>
      </c>
      <c r="E23" s="29">
        <v>0.1192</v>
      </c>
      <c r="F23" s="29">
        <v>8.7099999999999997E-2</v>
      </c>
      <c r="G23" s="29">
        <v>9.6000000000000002E-2</v>
      </c>
      <c r="H23" s="29">
        <v>0.1381</v>
      </c>
      <c r="J23" s="18">
        <f>AVERAGE(B23:H23)</f>
        <v>0.12595714285714285</v>
      </c>
    </row>
    <row r="24" spans="1:32">
      <c r="A24" s="30" t="s">
        <v>45</v>
      </c>
      <c r="B24" s="31">
        <v>2381</v>
      </c>
      <c r="C24" s="31">
        <v>368</v>
      </c>
      <c r="D24" s="31">
        <v>563</v>
      </c>
      <c r="E24" s="31">
        <v>203</v>
      </c>
      <c r="F24" s="31">
        <v>104</v>
      </c>
      <c r="G24" s="31">
        <v>587</v>
      </c>
      <c r="H24" s="31">
        <v>955</v>
      </c>
      <c r="J24" s="21">
        <f>SUM(B24:H24)</f>
        <v>5161</v>
      </c>
    </row>
    <row r="25" spans="1:32" ht="15" customHeight="1">
      <c r="A25" s="35" t="s">
        <v>46</v>
      </c>
      <c r="B25" s="27"/>
      <c r="C25" s="27"/>
      <c r="D25" s="27"/>
      <c r="E25" s="27"/>
      <c r="F25" s="27"/>
      <c r="G25" s="27"/>
      <c r="H25" s="27"/>
      <c r="J25" s="36">
        <f>SUM(B25:H25)</f>
        <v>0</v>
      </c>
    </row>
    <row r="26" spans="1:32" ht="15" customHeight="1">
      <c r="A26" s="35" t="s">
        <v>41</v>
      </c>
      <c r="B26" s="38">
        <f>B22/B24</f>
        <v>75.602427551448969</v>
      </c>
      <c r="C26" s="38">
        <f t="shared" ref="C26:H26" si="10">C22/C24</f>
        <v>71.285271739130437</v>
      </c>
      <c r="D26" s="38">
        <f t="shared" si="10"/>
        <v>114.34175843694494</v>
      </c>
      <c r="E26" s="38">
        <f t="shared" si="10"/>
        <v>145.94433497536946</v>
      </c>
      <c r="F26" s="38">
        <f t="shared" si="10"/>
        <v>139.07576923076923</v>
      </c>
      <c r="G26" s="38">
        <f t="shared" ref="G26" si="11">G22/G24</f>
        <v>112.22166950596251</v>
      </c>
      <c r="H26" s="38">
        <f t="shared" si="10"/>
        <v>64.350890052356021</v>
      </c>
      <c r="J26" s="37">
        <f>J22/J24</f>
        <v>85.649403216430926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5712-AEC7-4399-A546-60F6D759D984}">
  <dimension ref="A1:AD26"/>
  <sheetViews>
    <sheetView zoomScale="75" zoomScaleNormal="75" workbookViewId="0">
      <selection activeCell="F18" sqref="F18"/>
    </sheetView>
  </sheetViews>
  <sheetFormatPr defaultRowHeight="15" customHeight="1"/>
  <cols>
    <col min="1" max="1" width="30.7109375" customWidth="1"/>
    <col min="2" max="6" width="20.7109375" customWidth="1"/>
    <col min="7" max="7" width="21.28515625" customWidth="1"/>
    <col min="8" max="8" width="15.85546875" customWidth="1"/>
  </cols>
  <sheetData>
    <row r="1" spans="1:30" s="2" customFormat="1">
      <c r="A1" s="85" t="s">
        <v>61</v>
      </c>
      <c r="B1" s="85" t="s">
        <v>12</v>
      </c>
      <c r="C1" s="85" t="s">
        <v>77</v>
      </c>
      <c r="D1" s="85" t="s">
        <v>78</v>
      </c>
      <c r="E1" s="85" t="s">
        <v>79</v>
      </c>
      <c r="F1" s="85" t="s">
        <v>80</v>
      </c>
      <c r="H1" s="2" t="s">
        <v>14</v>
      </c>
    </row>
    <row r="2" spans="1:30" s="5" customFormat="1" ht="85.7" customHeight="1">
      <c r="A2" s="91" t="s">
        <v>15</v>
      </c>
      <c r="B2" s="86" t="s">
        <v>16</v>
      </c>
      <c r="C2" s="84" t="s">
        <v>81</v>
      </c>
      <c r="D2" s="84" t="s">
        <v>70</v>
      </c>
      <c r="E2" s="84" t="s">
        <v>70</v>
      </c>
      <c r="F2" s="84" t="s">
        <v>82</v>
      </c>
      <c r="G2" s="4"/>
    </row>
    <row r="3" spans="1:30" s="4" customFormat="1">
      <c r="A3" s="92" t="s">
        <v>17</v>
      </c>
      <c r="B3" s="87" t="s">
        <v>28</v>
      </c>
      <c r="C3" s="87">
        <v>45989</v>
      </c>
      <c r="D3" s="87" t="s">
        <v>83</v>
      </c>
      <c r="E3" s="87" t="s">
        <v>83</v>
      </c>
      <c r="F3" s="87" t="s">
        <v>84</v>
      </c>
      <c r="H3" s="7"/>
    </row>
    <row r="4" spans="1:30">
      <c r="A4" s="93" t="s">
        <v>30</v>
      </c>
      <c r="B4" s="88">
        <v>9617.4500000000007</v>
      </c>
      <c r="C4" s="88">
        <v>18388.59</v>
      </c>
      <c r="D4" s="88">
        <v>2049.7800000000002</v>
      </c>
      <c r="E4" s="88">
        <v>2049.7800000000002</v>
      </c>
      <c r="F4" s="88">
        <v>0</v>
      </c>
      <c r="G4" s="10"/>
      <c r="H4" s="10">
        <f>SUM(B4:F4)</f>
        <v>32105.599999999999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>
      <c r="A5" s="94" t="s">
        <v>31</v>
      </c>
      <c r="B5" s="89"/>
      <c r="C5" s="89"/>
      <c r="D5" s="89"/>
      <c r="E5" s="89"/>
      <c r="F5" s="89"/>
      <c r="G5" s="10"/>
      <c r="H5" s="10">
        <f>SUM(B5:B5)</f>
        <v>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>
      <c r="A6" s="94" t="s">
        <v>32</v>
      </c>
      <c r="B6" s="89"/>
      <c r="C6" s="89"/>
      <c r="D6" s="89"/>
      <c r="E6" s="89"/>
      <c r="F6" s="89"/>
      <c r="G6" s="10"/>
      <c r="H6" s="10">
        <f>SUM(B6:B6)</f>
        <v>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>
      <c r="A7" s="94" t="s">
        <v>33</v>
      </c>
      <c r="B7" s="89"/>
      <c r="C7" s="89"/>
      <c r="D7" s="89"/>
      <c r="E7" s="89"/>
      <c r="F7" s="89"/>
      <c r="G7" s="10"/>
      <c r="H7" s="10">
        <f>SUM(B7:B7)</f>
        <v>0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>
      <c r="A8" s="94" t="s">
        <v>34</v>
      </c>
      <c r="B8" s="89">
        <f>B4-B5-B6</f>
        <v>9617.4500000000007</v>
      </c>
      <c r="C8" s="89">
        <f>C4-C5-C6</f>
        <v>18388.59</v>
      </c>
      <c r="D8" s="89">
        <f t="shared" ref="D8:F8" si="0">D4-D5-D6</f>
        <v>2049.7800000000002</v>
      </c>
      <c r="E8" s="89">
        <f t="shared" si="0"/>
        <v>2049.7800000000002</v>
      </c>
      <c r="F8" s="89">
        <f t="shared" si="0"/>
        <v>0</v>
      </c>
      <c r="G8" s="10"/>
      <c r="H8" s="10">
        <f>SUM(B8:F8)</f>
        <v>32105.599999999999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s="14" customFormat="1" ht="5.45" customHeight="1">
      <c r="A9" s="13"/>
      <c r="B9" s="13"/>
      <c r="C9" s="13"/>
      <c r="D9" s="13"/>
      <c r="E9" s="13"/>
      <c r="F9" s="13"/>
    </row>
    <row r="10" spans="1:30">
      <c r="A10" s="94" t="s">
        <v>35</v>
      </c>
      <c r="B10" s="90">
        <v>116</v>
      </c>
      <c r="C10" s="90">
        <v>168</v>
      </c>
      <c r="D10" s="90">
        <v>12</v>
      </c>
      <c r="E10" s="90">
        <v>12</v>
      </c>
      <c r="F10" s="90">
        <v>0</v>
      </c>
      <c r="H10" s="34">
        <f>SUM(B10:F10)</f>
        <v>308</v>
      </c>
    </row>
    <row r="11" spans="1:30">
      <c r="A11" s="94" t="s">
        <v>36</v>
      </c>
      <c r="B11" s="89">
        <f>B4/B10</f>
        <v>82.909051724137939</v>
      </c>
      <c r="C11" s="89">
        <f>C4/C10</f>
        <v>109.45589285714286</v>
      </c>
      <c r="D11" s="89">
        <f t="shared" ref="D11:F11" si="1">D4/D10</f>
        <v>170.81500000000003</v>
      </c>
      <c r="E11" s="89">
        <f t="shared" si="1"/>
        <v>170.81500000000003</v>
      </c>
      <c r="F11" s="89">
        <v>0</v>
      </c>
      <c r="G11" s="10"/>
      <c r="H11" s="10">
        <f>AVERAGE(B11:F11)</f>
        <v>106.79898891625616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>
      <c r="A12" s="94" t="s">
        <v>37</v>
      </c>
      <c r="B12" s="89">
        <f>(B4-B5)/B10</f>
        <v>82.909051724137939</v>
      </c>
      <c r="C12" s="89">
        <f>(C4-C5)/C10</f>
        <v>109.45589285714286</v>
      </c>
      <c r="D12" s="89">
        <f t="shared" ref="D12:F12" si="2">(D4-D5)/D10</f>
        <v>170.81500000000003</v>
      </c>
      <c r="E12" s="89">
        <f t="shared" si="2"/>
        <v>170.81500000000003</v>
      </c>
      <c r="F12" s="89">
        <v>0</v>
      </c>
      <c r="G12" s="10"/>
      <c r="H12" s="10">
        <f>AVERAGE(B12:F12)</f>
        <v>106.79898891625616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ht="30.75">
      <c r="A13" s="95" t="s">
        <v>38</v>
      </c>
      <c r="B13" s="89">
        <f>(B4-B5-B6)/B10</f>
        <v>82.909051724137939</v>
      </c>
      <c r="C13" s="89">
        <f>(C4-C5-C6)/C10</f>
        <v>109.45589285714286</v>
      </c>
      <c r="D13" s="89">
        <f t="shared" ref="D13:F13" si="3">(D4-D5-D6)/D10</f>
        <v>170.81500000000003</v>
      </c>
      <c r="E13" s="89">
        <f t="shared" si="3"/>
        <v>170.81500000000003</v>
      </c>
      <c r="F13" s="89">
        <v>0</v>
      </c>
      <c r="G13" s="10"/>
      <c r="H13" s="10">
        <f>AVERAGE(B13:F13)</f>
        <v>106.79898891625616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s="14" customFormat="1" ht="5.45" customHeight="1">
      <c r="A14" s="13"/>
      <c r="B14" s="13"/>
      <c r="C14" s="13"/>
      <c r="D14" s="13"/>
      <c r="E14" s="13"/>
      <c r="F14" s="13"/>
    </row>
    <row r="15" spans="1:30" ht="30.75">
      <c r="A15" s="95" t="s">
        <v>39</v>
      </c>
      <c r="B15" s="89">
        <f>B11-B13</f>
        <v>0</v>
      </c>
      <c r="C15" s="89">
        <f>C11-C13</f>
        <v>0</v>
      </c>
      <c r="D15" s="89">
        <f t="shared" ref="D15:F15" si="4">D11-D13</f>
        <v>0</v>
      </c>
      <c r="E15" s="89">
        <f t="shared" si="4"/>
        <v>0</v>
      </c>
      <c r="F15" s="89">
        <f t="shared" si="4"/>
        <v>0</v>
      </c>
      <c r="G15" s="10"/>
      <c r="H15" s="10">
        <f>SUM(B15:F15)</f>
        <v>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ht="30.75">
      <c r="A16" s="95" t="s">
        <v>40</v>
      </c>
      <c r="B16" s="89">
        <f>B12-B13</f>
        <v>0</v>
      </c>
      <c r="C16" s="89">
        <f>C12-C13</f>
        <v>0</v>
      </c>
      <c r="D16" s="89">
        <f t="shared" ref="D16:F16" si="5">D12-D13</f>
        <v>0</v>
      </c>
      <c r="E16" s="89">
        <f t="shared" si="5"/>
        <v>0</v>
      </c>
      <c r="F16" s="89">
        <f t="shared" si="5"/>
        <v>0</v>
      </c>
      <c r="G16" s="10"/>
      <c r="H16" s="10">
        <f>SUM(B16:F16)</f>
        <v>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>
      <c r="A17" s="96" t="s">
        <v>41</v>
      </c>
      <c r="B17" s="97">
        <f>B4/B10</f>
        <v>82.909051724137939</v>
      </c>
      <c r="C17" s="97">
        <f>C4/C10</f>
        <v>109.45589285714286</v>
      </c>
      <c r="D17" s="97">
        <f t="shared" ref="D17:F17" si="6">D4/D10</f>
        <v>170.81500000000003</v>
      </c>
      <c r="E17" s="97">
        <f t="shared" si="6"/>
        <v>170.81500000000003</v>
      </c>
      <c r="F17" s="97">
        <v>0</v>
      </c>
      <c r="G17" s="10"/>
      <c r="H17" s="10">
        <f>H4/H10</f>
        <v>104.23896103896104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9" spans="1:30">
      <c r="A19" s="22" t="s">
        <v>42</v>
      </c>
      <c r="B19" s="22" t="s">
        <v>12</v>
      </c>
      <c r="C19" s="22" t="s">
        <v>77</v>
      </c>
      <c r="D19" s="22" t="s">
        <v>78</v>
      </c>
      <c r="E19" s="22" t="s">
        <v>79</v>
      </c>
      <c r="F19" s="22" t="s">
        <v>80</v>
      </c>
      <c r="H19" s="2"/>
    </row>
    <row r="20" spans="1:30" ht="88.5" customHeight="1">
      <c r="A20" s="23" t="s">
        <v>15</v>
      </c>
      <c r="B20" s="24" t="s">
        <v>16</v>
      </c>
      <c r="C20" s="81" t="s">
        <v>81</v>
      </c>
      <c r="D20" s="81" t="s">
        <v>70</v>
      </c>
      <c r="E20" s="81" t="s">
        <v>70</v>
      </c>
      <c r="F20" s="81" t="s">
        <v>82</v>
      </c>
      <c r="H20" s="5"/>
      <c r="P20" s="19"/>
    </row>
    <row r="21" spans="1:30">
      <c r="A21" s="25" t="s">
        <v>17</v>
      </c>
      <c r="B21" s="33" t="s">
        <v>28</v>
      </c>
      <c r="C21" s="33">
        <v>45989</v>
      </c>
      <c r="D21" s="33" t="s">
        <v>83</v>
      </c>
      <c r="E21" s="33" t="s">
        <v>83</v>
      </c>
      <c r="F21" s="33" t="s">
        <v>84</v>
      </c>
      <c r="H21" s="7"/>
    </row>
    <row r="22" spans="1:30" s="16" customFormat="1">
      <c r="A22" s="26" t="s">
        <v>43</v>
      </c>
      <c r="B22" s="27">
        <v>152056.04</v>
      </c>
      <c r="C22" s="27">
        <v>91818</v>
      </c>
      <c r="D22" s="27">
        <v>27948.15</v>
      </c>
      <c r="E22" s="27">
        <v>11181.91</v>
      </c>
      <c r="F22" s="27">
        <v>5725.89</v>
      </c>
      <c r="H22" s="16">
        <f>SUM(B22:F22)</f>
        <v>288729.99</v>
      </c>
    </row>
    <row r="23" spans="1:30" s="18" customFormat="1">
      <c r="A23" s="28" t="s">
        <v>44</v>
      </c>
      <c r="B23" s="29">
        <v>0.1187</v>
      </c>
      <c r="C23" s="29">
        <v>0.20880000000000001</v>
      </c>
      <c r="D23" s="29">
        <v>0.1118</v>
      </c>
      <c r="E23" s="29">
        <v>8.3199999999999996E-2</v>
      </c>
      <c r="F23" s="29">
        <v>0.2888</v>
      </c>
      <c r="H23" s="18">
        <f>AVERAGE(B23:F23)</f>
        <v>0.16225999999999999</v>
      </c>
    </row>
    <row r="24" spans="1:30">
      <c r="A24" s="30" t="s">
        <v>45</v>
      </c>
      <c r="B24" s="31">
        <v>2196</v>
      </c>
      <c r="C24" s="31">
        <v>1105</v>
      </c>
      <c r="D24" s="31">
        <v>196</v>
      </c>
      <c r="E24" s="31">
        <v>80</v>
      </c>
      <c r="F24" s="31">
        <v>78</v>
      </c>
      <c r="H24" s="21">
        <f>SUM(B24:F24)</f>
        <v>3655</v>
      </c>
    </row>
    <row r="25" spans="1:30" ht="15" customHeight="1">
      <c r="A25" s="35" t="s">
        <v>46</v>
      </c>
      <c r="B25" s="27"/>
      <c r="C25" s="27"/>
      <c r="D25" s="27"/>
      <c r="E25" s="27"/>
      <c r="F25" s="27"/>
      <c r="H25" s="36">
        <f>SUM(B25:F25)</f>
        <v>0</v>
      </c>
    </row>
    <row r="26" spans="1:30" ht="15" customHeight="1">
      <c r="A26" s="35" t="s">
        <v>41</v>
      </c>
      <c r="B26" s="38">
        <f>B22/B24</f>
        <v>69.242276867030967</v>
      </c>
      <c r="C26" s="38">
        <f t="shared" ref="C26:F26" si="7">C22/C24</f>
        <v>83.093212669683254</v>
      </c>
      <c r="D26" s="38">
        <f t="shared" si="7"/>
        <v>142.59260204081633</v>
      </c>
      <c r="E26" s="38">
        <f t="shared" si="7"/>
        <v>139.773875</v>
      </c>
      <c r="F26" s="38">
        <f t="shared" si="7"/>
        <v>73.408846153846156</v>
      </c>
      <c r="H26" s="37">
        <f>H22/H24</f>
        <v>78.995893296853623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E20BF-6FB4-4F96-9D95-2976DC9CA2E8}">
  <dimension ref="A1:AB26"/>
  <sheetViews>
    <sheetView topLeftCell="A10" zoomScale="75" zoomScaleNormal="75" workbookViewId="0">
      <selection activeCell="B27" sqref="B27"/>
    </sheetView>
  </sheetViews>
  <sheetFormatPr defaultRowHeight="15" customHeight="1"/>
  <cols>
    <col min="1" max="1" width="30.7109375" customWidth="1"/>
    <col min="2" max="4" width="20.7109375" customWidth="1"/>
    <col min="5" max="5" width="21.28515625" customWidth="1"/>
    <col min="6" max="6" width="15.85546875" customWidth="1"/>
  </cols>
  <sheetData>
    <row r="1" spans="1:28" s="2" customFormat="1">
      <c r="A1" s="1" t="s">
        <v>61</v>
      </c>
      <c r="B1" s="1" t="s">
        <v>11</v>
      </c>
      <c r="C1" s="1" t="s">
        <v>85</v>
      </c>
      <c r="D1" s="1" t="s">
        <v>52</v>
      </c>
      <c r="F1" s="2" t="s">
        <v>14</v>
      </c>
    </row>
    <row r="2" spans="1:28" s="5" customFormat="1" ht="85.7" customHeight="1">
      <c r="A2" s="3" t="s">
        <v>15</v>
      </c>
      <c r="B2" s="17" t="s">
        <v>16</v>
      </c>
      <c r="C2" s="80" t="s">
        <v>69</v>
      </c>
      <c r="D2" s="80" t="s">
        <v>56</v>
      </c>
      <c r="E2" s="4"/>
    </row>
    <row r="3" spans="1:28" s="4" customFormat="1">
      <c r="A3" s="6" t="s">
        <v>17</v>
      </c>
      <c r="B3" s="32" t="s">
        <v>27</v>
      </c>
      <c r="C3" s="32" t="s">
        <v>86</v>
      </c>
      <c r="D3" s="32" t="s">
        <v>59</v>
      </c>
      <c r="F3" s="7"/>
    </row>
    <row r="4" spans="1:28">
      <c r="A4" s="8" t="s">
        <v>30</v>
      </c>
      <c r="B4" s="9">
        <v>8118.82</v>
      </c>
      <c r="C4" s="9">
        <v>11107.22</v>
      </c>
      <c r="D4" s="9">
        <v>704.34</v>
      </c>
      <c r="E4" s="10"/>
      <c r="F4" s="10">
        <f>SUM(B4:D4)</f>
        <v>19930.38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>
      <c r="A5" s="11" t="s">
        <v>31</v>
      </c>
      <c r="B5" s="12"/>
      <c r="C5" s="12"/>
      <c r="D5" s="12"/>
      <c r="E5" s="10"/>
      <c r="F5" s="10">
        <f>SUM(B5:B5)</f>
        <v>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>
      <c r="A6" s="11" t="s">
        <v>32</v>
      </c>
      <c r="B6" s="12"/>
      <c r="C6" s="12"/>
      <c r="D6" s="12"/>
      <c r="E6" s="10"/>
      <c r="F6" s="10">
        <f>SUM(B6:B6)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>
      <c r="A7" s="11" t="s">
        <v>33</v>
      </c>
      <c r="B7" s="12"/>
      <c r="C7" s="12"/>
      <c r="D7" s="12"/>
      <c r="E7" s="10"/>
      <c r="F7" s="10">
        <f>SUM(B7:B7)</f>
        <v>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>
      <c r="A8" s="11" t="s">
        <v>34</v>
      </c>
      <c r="B8" s="12">
        <f>B4-B5-B6</f>
        <v>8118.82</v>
      </c>
      <c r="C8" s="12">
        <f>C4-C5-C6</f>
        <v>11107.22</v>
      </c>
      <c r="D8" s="12">
        <f>D4-D5-D6</f>
        <v>704.34</v>
      </c>
      <c r="E8" s="10"/>
      <c r="F8" s="10">
        <f>SUM(B8:D8)</f>
        <v>19930.38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s="14" customFormat="1" ht="5.45" customHeight="1">
      <c r="A9" s="13"/>
      <c r="B9" s="13"/>
      <c r="C9" s="13"/>
      <c r="D9" s="13"/>
    </row>
    <row r="10" spans="1:28">
      <c r="A10" s="11" t="s">
        <v>35</v>
      </c>
      <c r="B10" s="20">
        <v>124</v>
      </c>
      <c r="C10" s="20">
        <v>109</v>
      </c>
      <c r="D10" s="20">
        <v>9</v>
      </c>
      <c r="F10" s="34">
        <f>SUM(B10:D10)</f>
        <v>242</v>
      </c>
    </row>
    <row r="11" spans="1:28">
      <c r="A11" s="11" t="s">
        <v>36</v>
      </c>
      <c r="B11" s="12">
        <f>B4/B10</f>
        <v>65.474354838709672</v>
      </c>
      <c r="C11" s="12">
        <f>C4/C10</f>
        <v>101.90110091743119</v>
      </c>
      <c r="D11" s="12">
        <f>D4/D10</f>
        <v>78.260000000000005</v>
      </c>
      <c r="E11" s="10"/>
      <c r="F11" s="10">
        <f>AVERAGE(B11:D11)</f>
        <v>81.878485252046957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>
      <c r="A12" s="11" t="s">
        <v>37</v>
      </c>
      <c r="B12" s="12">
        <f>(B4-B5)/B10</f>
        <v>65.474354838709672</v>
      </c>
      <c r="C12" s="12">
        <f>(C4-C5)/C10</f>
        <v>101.90110091743119</v>
      </c>
      <c r="D12" s="12">
        <f>(D4-D5)/D10</f>
        <v>78.260000000000005</v>
      </c>
      <c r="E12" s="10"/>
      <c r="F12" s="10">
        <f>AVERAGE(B12:D12)</f>
        <v>81.878485252046957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30.75">
      <c r="A13" s="15" t="s">
        <v>38</v>
      </c>
      <c r="B13" s="12">
        <f>(B4-B5-B6)/B10</f>
        <v>65.474354838709672</v>
      </c>
      <c r="C13" s="12">
        <f>(C4-C5-C6)/C10</f>
        <v>101.90110091743119</v>
      </c>
      <c r="D13" s="12">
        <f>(D4-D5-D6)/D10</f>
        <v>78.260000000000005</v>
      </c>
      <c r="E13" s="10"/>
      <c r="F13" s="10">
        <f>AVERAGE(B13:D13)</f>
        <v>81.878485252046957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s="14" customFormat="1" ht="5.45" customHeight="1">
      <c r="A14" s="13"/>
      <c r="B14" s="13"/>
      <c r="C14" s="13"/>
      <c r="D14" s="13"/>
    </row>
    <row r="15" spans="1:28" ht="30.75">
      <c r="A15" s="15" t="s">
        <v>39</v>
      </c>
      <c r="B15" s="12">
        <f>B11-B13</f>
        <v>0</v>
      </c>
      <c r="C15" s="12">
        <f>C11-C13</f>
        <v>0</v>
      </c>
      <c r="D15" s="12">
        <f>D11-D13</f>
        <v>0</v>
      </c>
      <c r="E15" s="10"/>
      <c r="F15" s="10">
        <f>SUM(B15:D15)</f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30.75">
      <c r="A16" s="15" t="s">
        <v>40</v>
      </c>
      <c r="B16" s="12">
        <f>B12-B13</f>
        <v>0</v>
      </c>
      <c r="C16" s="12">
        <f>C12-C13</f>
        <v>0</v>
      </c>
      <c r="D16" s="12">
        <f>D12-D13</f>
        <v>0</v>
      </c>
      <c r="E16" s="10"/>
      <c r="F16" s="10">
        <f>SUM(B16:D16)</f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>
      <c r="A17" s="41" t="s">
        <v>41</v>
      </c>
      <c r="B17" s="42">
        <f>B4/B10</f>
        <v>65.474354838709672</v>
      </c>
      <c r="C17" s="42">
        <f>C4/C10</f>
        <v>101.90110091743119</v>
      </c>
      <c r="D17" s="42">
        <f>D4/D10</f>
        <v>78.260000000000005</v>
      </c>
      <c r="E17" s="10"/>
      <c r="F17" s="10">
        <f>F4/F10</f>
        <v>82.356942148760339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9" spans="1:28">
      <c r="A19" s="22" t="s">
        <v>42</v>
      </c>
      <c r="B19" s="22" t="s">
        <v>11</v>
      </c>
      <c r="C19" s="22" t="s">
        <v>85</v>
      </c>
      <c r="D19" s="22" t="s">
        <v>52</v>
      </c>
      <c r="F19" s="2"/>
    </row>
    <row r="20" spans="1:28" ht="88.5" customHeight="1">
      <c r="A20" s="23" t="s">
        <v>15</v>
      </c>
      <c r="B20" s="24" t="s">
        <v>16</v>
      </c>
      <c r="C20" s="81" t="s">
        <v>69</v>
      </c>
      <c r="D20" s="81" t="s">
        <v>56</v>
      </c>
      <c r="F20" s="5"/>
      <c r="N20" s="19"/>
    </row>
    <row r="21" spans="1:28">
      <c r="A21" s="25" t="s">
        <v>17</v>
      </c>
      <c r="B21" s="33" t="s">
        <v>27</v>
      </c>
      <c r="C21" s="33" t="s">
        <v>86</v>
      </c>
      <c r="D21" s="33" t="s">
        <v>59</v>
      </c>
      <c r="F21" s="7"/>
    </row>
    <row r="22" spans="1:28" s="16" customFormat="1">
      <c r="A22" s="26" t="s">
        <v>43</v>
      </c>
      <c r="B22" s="27">
        <v>159827.60999999999</v>
      </c>
      <c r="C22" s="27">
        <v>57486.46</v>
      </c>
      <c r="D22" s="27">
        <v>2239.3000000000002</v>
      </c>
      <c r="F22" s="16">
        <f>SUM(B22:D22)</f>
        <v>219553.36999999997</v>
      </c>
    </row>
    <row r="23" spans="1:28" s="18" customFormat="1">
      <c r="A23" s="28" t="s">
        <v>44</v>
      </c>
      <c r="B23" s="29">
        <v>0.11509999999999999</v>
      </c>
      <c r="C23" s="29">
        <v>7.9799999999999996E-2</v>
      </c>
      <c r="D23" s="29">
        <v>0.1331</v>
      </c>
      <c r="F23" s="18">
        <f>AVERAGE(B23:D23)</f>
        <v>0.10933333333333332</v>
      </c>
    </row>
    <row r="24" spans="1:28">
      <c r="A24" s="30" t="s">
        <v>45</v>
      </c>
      <c r="B24" s="31">
        <v>2377</v>
      </c>
      <c r="C24" s="31">
        <v>535</v>
      </c>
      <c r="D24" s="31">
        <v>34</v>
      </c>
      <c r="F24" s="21">
        <f>SUM(B24:D24)</f>
        <v>2946</v>
      </c>
    </row>
    <row r="25" spans="1:28" ht="15" customHeight="1">
      <c r="A25" s="35" t="s">
        <v>46</v>
      </c>
      <c r="B25" s="27"/>
      <c r="C25" s="83"/>
      <c r="D25" s="82"/>
      <c r="F25" s="36">
        <f>SUM(B25:D25)</f>
        <v>0</v>
      </c>
    </row>
    <row r="26" spans="1:28" ht="15" customHeight="1">
      <c r="A26" s="35" t="s">
        <v>41</v>
      </c>
      <c r="B26" s="38">
        <f>B22/B24</f>
        <v>67.239213294068151</v>
      </c>
      <c r="C26" s="38"/>
      <c r="D26" s="38">
        <f t="shared" ref="D26" si="0">D22/D24</f>
        <v>65.861764705882365</v>
      </c>
      <c r="F26" s="37">
        <f>F22/F24</f>
        <v>74.52592328581126</v>
      </c>
    </row>
  </sheetData>
  <conditionalFormatting sqref="D2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4895-7AF8-46F5-B282-5C9B93B26D91}">
  <dimension ref="A1:AC26"/>
  <sheetViews>
    <sheetView topLeftCell="B1" zoomScale="75" zoomScaleNormal="75" workbookViewId="0">
      <selection activeCell="B1" sqref="B1"/>
    </sheetView>
  </sheetViews>
  <sheetFormatPr defaultRowHeight="15" customHeight="1"/>
  <cols>
    <col min="1" max="1" width="30.7109375" customWidth="1"/>
    <col min="2" max="4" width="20.7109375" customWidth="1"/>
    <col min="5" max="5" width="22.85546875" customWidth="1"/>
    <col min="6" max="6" width="21.28515625" customWidth="1"/>
    <col min="7" max="7" width="15.85546875" customWidth="1"/>
  </cols>
  <sheetData>
    <row r="1" spans="1:29" s="2" customFormat="1">
      <c r="A1" s="1" t="s">
        <v>61</v>
      </c>
      <c r="B1" s="1" t="s">
        <v>10</v>
      </c>
      <c r="C1" s="1" t="s">
        <v>87</v>
      </c>
      <c r="D1" s="1" t="s">
        <v>88</v>
      </c>
      <c r="E1" s="1" t="s">
        <v>89</v>
      </c>
      <c r="G1" s="2" t="s">
        <v>14</v>
      </c>
    </row>
    <row r="2" spans="1:29" s="5" customFormat="1" ht="85.7" customHeight="1">
      <c r="A2" s="3" t="s">
        <v>15</v>
      </c>
      <c r="B2" s="17" t="s">
        <v>16</v>
      </c>
      <c r="C2" s="80" t="s">
        <v>69</v>
      </c>
      <c r="D2" s="80" t="s">
        <v>90</v>
      </c>
      <c r="E2" s="80" t="s">
        <v>91</v>
      </c>
      <c r="F2" s="4"/>
    </row>
    <row r="3" spans="1:29" s="4" customFormat="1">
      <c r="A3" s="6" t="s">
        <v>17</v>
      </c>
      <c r="B3" s="32" t="s">
        <v>26</v>
      </c>
      <c r="C3" s="32" t="s">
        <v>92</v>
      </c>
      <c r="D3" s="32" t="s">
        <v>93</v>
      </c>
      <c r="E3" s="32" t="s">
        <v>94</v>
      </c>
      <c r="G3" s="7"/>
    </row>
    <row r="4" spans="1:29">
      <c r="A4" s="8" t="s">
        <v>30</v>
      </c>
      <c r="B4" s="9">
        <v>10164.58</v>
      </c>
      <c r="C4" s="9">
        <v>1460.49</v>
      </c>
      <c r="D4" s="9">
        <v>479.25</v>
      </c>
      <c r="E4" s="9"/>
      <c r="F4" s="10"/>
      <c r="G4" s="10">
        <f>SUM(B4:E4)</f>
        <v>12104.32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>
      <c r="A5" s="11" t="s">
        <v>31</v>
      </c>
      <c r="B5" s="12"/>
      <c r="C5" s="12"/>
      <c r="D5" s="12"/>
      <c r="E5" s="12"/>
      <c r="F5" s="10"/>
      <c r="G5" s="10">
        <f>SUM(B5:B5)</f>
        <v>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>
      <c r="A6" s="11" t="s">
        <v>32</v>
      </c>
      <c r="B6" s="12"/>
      <c r="C6" s="12"/>
      <c r="D6" s="12"/>
      <c r="E6" s="12"/>
      <c r="F6" s="10"/>
      <c r="G6" s="10">
        <f>SUM(B6:B6)</f>
        <v>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>
      <c r="A7" s="11" t="s">
        <v>33</v>
      </c>
      <c r="B7" s="12"/>
      <c r="C7" s="12"/>
      <c r="D7" s="12"/>
      <c r="E7" s="12"/>
      <c r="F7" s="10"/>
      <c r="G7" s="10">
        <f>SUM(B7:B7)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>
      <c r="A8" s="11" t="s">
        <v>34</v>
      </c>
      <c r="B8" s="12">
        <f>B4-B5-B6</f>
        <v>10164.58</v>
      </c>
      <c r="C8" s="12">
        <f>C4-C5-C6</f>
        <v>1460.49</v>
      </c>
      <c r="D8" s="12">
        <f t="shared" ref="D8:E8" si="0">D4-D5-D6</f>
        <v>479.25</v>
      </c>
      <c r="E8" s="12">
        <f t="shared" si="0"/>
        <v>0</v>
      </c>
      <c r="F8" s="10"/>
      <c r="G8" s="10">
        <f>SUM(B8:E8)</f>
        <v>12104.32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s="14" customFormat="1" ht="5.45" customHeight="1">
      <c r="A9" s="13"/>
      <c r="B9" s="13"/>
      <c r="C9" s="13"/>
      <c r="D9" s="13"/>
      <c r="E9" s="13"/>
    </row>
    <row r="10" spans="1:29">
      <c r="A10" s="11" t="s">
        <v>35</v>
      </c>
      <c r="B10" s="20">
        <v>121</v>
      </c>
      <c r="C10" s="20">
        <v>17</v>
      </c>
      <c r="D10" s="20">
        <v>7</v>
      </c>
      <c r="E10" s="20"/>
      <c r="G10" s="34">
        <f>SUM(B10:E10)</f>
        <v>145</v>
      </c>
    </row>
    <row r="11" spans="1:29">
      <c r="A11" s="11" t="s">
        <v>36</v>
      </c>
      <c r="B11" s="12">
        <f>B4/B10</f>
        <v>84.004793388429746</v>
      </c>
      <c r="C11" s="12">
        <f>C4/C10</f>
        <v>85.911176470588231</v>
      </c>
      <c r="D11" s="12">
        <f t="shared" ref="D11:E11" si="1">D4/D10</f>
        <v>68.464285714285708</v>
      </c>
      <c r="E11" s="12" t="e">
        <f t="shared" si="1"/>
        <v>#DIV/0!</v>
      </c>
      <c r="F11" s="10"/>
      <c r="G11" s="10" t="e">
        <f>AVERAGE(B11:E11)</f>
        <v>#DIV/0!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>
      <c r="A12" s="11" t="s">
        <v>37</v>
      </c>
      <c r="B12" s="12">
        <f>(B4-B5)/B10</f>
        <v>84.004793388429746</v>
      </c>
      <c r="C12" s="12">
        <f>(C4-C5)/C10</f>
        <v>85.911176470588231</v>
      </c>
      <c r="D12" s="12">
        <f t="shared" ref="D12:E12" si="2">(D4-D5)/D10</f>
        <v>68.464285714285708</v>
      </c>
      <c r="E12" s="12" t="e">
        <f t="shared" si="2"/>
        <v>#DIV/0!</v>
      </c>
      <c r="F12" s="10"/>
      <c r="G12" s="10" t="e">
        <f>AVERAGE(B12:E12)</f>
        <v>#DIV/0!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ht="30.75">
      <c r="A13" s="15" t="s">
        <v>38</v>
      </c>
      <c r="B13" s="12">
        <f>(B4-B5-B6)/B10</f>
        <v>84.004793388429746</v>
      </c>
      <c r="C13" s="12">
        <f>(C4-C5-C6)/C10</f>
        <v>85.911176470588231</v>
      </c>
      <c r="D13" s="12">
        <f t="shared" ref="D13:E13" si="3">(D4-D5-D6)/D10</f>
        <v>68.464285714285708</v>
      </c>
      <c r="E13" s="12" t="e">
        <f t="shared" si="3"/>
        <v>#DIV/0!</v>
      </c>
      <c r="F13" s="10"/>
      <c r="G13" s="10" t="e">
        <f>AVERAGE(B13:E13)</f>
        <v>#DIV/0!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s="14" customFormat="1" ht="5.45" customHeight="1">
      <c r="A14" s="13"/>
      <c r="B14" s="13"/>
      <c r="C14" s="13"/>
      <c r="D14" s="13"/>
      <c r="E14" s="13"/>
    </row>
    <row r="15" spans="1:29" ht="30.75">
      <c r="A15" s="15" t="s">
        <v>39</v>
      </c>
      <c r="B15" s="12">
        <f>B11-B13</f>
        <v>0</v>
      </c>
      <c r="C15" s="12">
        <f>C11-C13</f>
        <v>0</v>
      </c>
      <c r="D15" s="12">
        <f t="shared" ref="D15:E15" si="4">D11-D13</f>
        <v>0</v>
      </c>
      <c r="E15" s="12" t="e">
        <f t="shared" si="4"/>
        <v>#DIV/0!</v>
      </c>
      <c r="F15" s="10"/>
      <c r="G15" s="10" t="e">
        <f>SUM(B15:E15)</f>
        <v>#DIV/0!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ht="30.75">
      <c r="A16" s="15" t="s">
        <v>40</v>
      </c>
      <c r="B16" s="12">
        <f>B12-B13</f>
        <v>0</v>
      </c>
      <c r="C16" s="12">
        <f>C12-C13</f>
        <v>0</v>
      </c>
      <c r="D16" s="12">
        <f t="shared" ref="D16:E16" si="5">D12-D13</f>
        <v>0</v>
      </c>
      <c r="E16" s="12" t="e">
        <f t="shared" si="5"/>
        <v>#DIV/0!</v>
      </c>
      <c r="F16" s="10"/>
      <c r="G16" s="10" t="e">
        <f>SUM(B16:E16)</f>
        <v>#DIV/0!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>
      <c r="A17" s="41" t="s">
        <v>41</v>
      </c>
      <c r="B17" s="42">
        <f>B4/B10</f>
        <v>84.004793388429746</v>
      </c>
      <c r="C17" s="42">
        <f>C4/C10</f>
        <v>85.911176470588231</v>
      </c>
      <c r="D17" s="42">
        <f t="shared" ref="D17:E17" si="6">D4/D10</f>
        <v>68.464285714285708</v>
      </c>
      <c r="E17" s="42" t="e">
        <f t="shared" si="6"/>
        <v>#DIV/0!</v>
      </c>
      <c r="F17" s="10"/>
      <c r="G17" s="10">
        <f>G4/G10</f>
        <v>83.478068965517238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9" spans="1:29">
      <c r="A19" s="22" t="s">
        <v>42</v>
      </c>
      <c r="B19" s="22" t="s">
        <v>10</v>
      </c>
      <c r="C19" s="22" t="s">
        <v>87</v>
      </c>
      <c r="D19" s="22" t="s">
        <v>88</v>
      </c>
      <c r="E19" s="22" t="s">
        <v>89</v>
      </c>
      <c r="G19" s="2"/>
    </row>
    <row r="20" spans="1:29" ht="88.5" customHeight="1">
      <c r="A20" s="23" t="s">
        <v>15</v>
      </c>
      <c r="B20" s="24" t="s">
        <v>16</v>
      </c>
      <c r="C20" s="81" t="s">
        <v>69</v>
      </c>
      <c r="D20" s="81" t="s">
        <v>90</v>
      </c>
      <c r="E20" s="81" t="s">
        <v>91</v>
      </c>
      <c r="G20" s="5"/>
      <c r="O20" s="19"/>
    </row>
    <row r="21" spans="1:29">
      <c r="A21" s="25" t="s">
        <v>17</v>
      </c>
      <c r="B21" s="33" t="s">
        <v>26</v>
      </c>
      <c r="C21" s="33" t="s">
        <v>92</v>
      </c>
      <c r="D21" s="33" t="s">
        <v>93</v>
      </c>
      <c r="E21" s="33" t="s">
        <v>94</v>
      </c>
      <c r="G21" s="7"/>
    </row>
    <row r="22" spans="1:29" s="16" customFormat="1">
      <c r="A22" s="26" t="s">
        <v>43</v>
      </c>
      <c r="B22" s="27">
        <v>133644.09</v>
      </c>
      <c r="C22" s="27">
        <v>67265.03</v>
      </c>
      <c r="D22" s="27">
        <v>25580.080000000002</v>
      </c>
      <c r="E22" s="27">
        <f>257.65+2644.89</f>
        <v>2902.54</v>
      </c>
      <c r="G22" s="16">
        <f>SUM(B22:E22)</f>
        <v>229391.74000000002</v>
      </c>
    </row>
    <row r="23" spans="1:29" s="18" customFormat="1">
      <c r="A23" s="28" t="s">
        <v>44</v>
      </c>
      <c r="B23" s="29">
        <v>0.12540000000000001</v>
      </c>
      <c r="C23" s="29">
        <v>0.13439999999999999</v>
      </c>
      <c r="D23" s="29">
        <v>0.16220000000000001</v>
      </c>
      <c r="E23" s="29">
        <v>-3.0700000000000002E-2</v>
      </c>
      <c r="G23" s="18">
        <f>AVERAGE(B23:E23)</f>
        <v>9.7825000000000009E-2</v>
      </c>
    </row>
    <row r="24" spans="1:29">
      <c r="A24" s="30" t="s">
        <v>45</v>
      </c>
      <c r="B24" s="31">
        <v>2054</v>
      </c>
      <c r="C24" s="31">
        <v>614</v>
      </c>
      <c r="D24" s="31">
        <v>260</v>
      </c>
      <c r="E24" s="31">
        <v>231</v>
      </c>
      <c r="G24" s="21">
        <f>SUM(B24:E24)</f>
        <v>3159</v>
      </c>
    </row>
    <row r="25" spans="1:29" ht="15" customHeight="1">
      <c r="A25" s="35" t="s">
        <v>46</v>
      </c>
      <c r="B25" s="27"/>
      <c r="C25" s="82"/>
      <c r="D25" s="27"/>
      <c r="E25" s="27"/>
      <c r="G25" s="36">
        <f>SUM(B25:E25)</f>
        <v>0</v>
      </c>
    </row>
    <row r="26" spans="1:29" ht="15" customHeight="1">
      <c r="A26" s="35" t="s">
        <v>41</v>
      </c>
      <c r="B26" s="38">
        <f>B22/B24</f>
        <v>65.065282375851993</v>
      </c>
      <c r="C26" s="38">
        <f t="shared" ref="C26" si="7">C22/C24</f>
        <v>109.55216612377851</v>
      </c>
      <c r="D26" s="38">
        <f t="shared" ref="C26:E26" si="8">D22/D24</f>
        <v>98.384923076923087</v>
      </c>
      <c r="E26" s="38">
        <f t="shared" si="8"/>
        <v>12.565108225108226</v>
      </c>
      <c r="G26" s="37">
        <f>G22/G24</f>
        <v>72.615302310857871</v>
      </c>
    </row>
  </sheetData>
  <conditionalFormatting sqref="C2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E34C-3F69-4F9F-BA33-F2922BAD22C5}">
  <dimension ref="A1:AC26"/>
  <sheetViews>
    <sheetView topLeftCell="A19" zoomScale="75" zoomScaleNormal="75" workbookViewId="0">
      <selection activeCell="C22" sqref="C22:C26"/>
    </sheetView>
  </sheetViews>
  <sheetFormatPr defaultRowHeight="15" customHeight="1"/>
  <cols>
    <col min="1" max="1" width="30.7109375" customWidth="1"/>
    <col min="2" max="5" width="20.7109375" customWidth="1"/>
    <col min="6" max="6" width="21.28515625" customWidth="1"/>
    <col min="7" max="7" width="15.85546875" customWidth="1"/>
  </cols>
  <sheetData>
    <row r="1" spans="1:29" s="2" customFormat="1">
      <c r="A1" s="1" t="s">
        <v>61</v>
      </c>
      <c r="B1" s="1" t="s">
        <v>9</v>
      </c>
      <c r="C1" s="1" t="s">
        <v>87</v>
      </c>
      <c r="D1" s="1" t="s">
        <v>95</v>
      </c>
      <c r="E1" s="1" t="s">
        <v>96</v>
      </c>
      <c r="G1" s="2" t="s">
        <v>14</v>
      </c>
    </row>
    <row r="2" spans="1:29" s="5" customFormat="1" ht="85.7" customHeight="1">
      <c r="A2" s="3" t="s">
        <v>15</v>
      </c>
      <c r="B2" s="17" t="s">
        <v>16</v>
      </c>
      <c r="C2" s="80" t="s">
        <v>69</v>
      </c>
      <c r="D2" s="80" t="s">
        <v>82</v>
      </c>
      <c r="E2" s="80" t="s">
        <v>97</v>
      </c>
      <c r="F2" s="4"/>
    </row>
    <row r="3" spans="1:29" s="4" customFormat="1">
      <c r="A3" s="6" t="s">
        <v>17</v>
      </c>
      <c r="B3" s="32" t="s">
        <v>25</v>
      </c>
      <c r="C3" s="32" t="s">
        <v>92</v>
      </c>
      <c r="D3" s="32" t="s">
        <v>98</v>
      </c>
      <c r="E3" s="32" t="s">
        <v>99</v>
      </c>
      <c r="G3" s="7"/>
    </row>
    <row r="4" spans="1:29">
      <c r="A4" s="8" t="s">
        <v>30</v>
      </c>
      <c r="B4" s="9">
        <v>10322.93</v>
      </c>
      <c r="C4" s="9">
        <v>69.209999999999994</v>
      </c>
      <c r="D4" s="9"/>
      <c r="E4" s="9">
        <v>95</v>
      </c>
      <c r="F4" s="10"/>
      <c r="G4" s="10">
        <f>SUM(B4:E4)</f>
        <v>10487.14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>
      <c r="A5" s="11" t="s">
        <v>31</v>
      </c>
      <c r="B5" s="12"/>
      <c r="C5" s="12"/>
      <c r="D5" s="12"/>
      <c r="E5" s="12"/>
      <c r="F5" s="10"/>
      <c r="G5" s="10">
        <f>SUM(B5:B5)</f>
        <v>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>
      <c r="A6" s="11" t="s">
        <v>32</v>
      </c>
      <c r="B6" s="12"/>
      <c r="C6" s="12"/>
      <c r="D6" s="12"/>
      <c r="E6" s="12"/>
      <c r="F6" s="10"/>
      <c r="G6" s="10">
        <f>SUM(B6:B6)</f>
        <v>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>
      <c r="A7" s="11" t="s">
        <v>33</v>
      </c>
      <c r="B7" s="12"/>
      <c r="C7" s="12"/>
      <c r="D7" s="12"/>
      <c r="E7" s="12"/>
      <c r="F7" s="10"/>
      <c r="G7" s="10">
        <f>SUM(B7:B7)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>
      <c r="A8" s="11" t="s">
        <v>34</v>
      </c>
      <c r="B8" s="12">
        <f>B4-B5-B6</f>
        <v>10322.93</v>
      </c>
      <c r="C8" s="12">
        <f>C4-C5-C6</f>
        <v>69.209999999999994</v>
      </c>
      <c r="D8" s="12"/>
      <c r="E8" s="12">
        <f t="shared" ref="E8" si="0">E4-E5-E6</f>
        <v>95</v>
      </c>
      <c r="F8" s="10"/>
      <c r="G8" s="10">
        <f>SUM(B8:E8)</f>
        <v>10487.14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s="14" customFormat="1" ht="5.45" customHeight="1">
      <c r="A9" s="13"/>
      <c r="B9" s="13"/>
      <c r="C9" s="13"/>
      <c r="D9" s="13"/>
      <c r="E9" s="13"/>
    </row>
    <row r="10" spans="1:29">
      <c r="A10" s="11" t="s">
        <v>35</v>
      </c>
      <c r="B10" s="20">
        <v>139</v>
      </c>
      <c r="C10" s="20">
        <v>1</v>
      </c>
      <c r="D10" s="20"/>
      <c r="E10" s="20">
        <v>1</v>
      </c>
      <c r="G10" s="34">
        <f>SUM(B10:E10)</f>
        <v>141</v>
      </c>
    </row>
    <row r="11" spans="1:29">
      <c r="A11" s="11" t="s">
        <v>36</v>
      </c>
      <c r="B11" s="12">
        <f>B4/B10</f>
        <v>74.265683453237415</v>
      </c>
      <c r="C11" s="12">
        <f>C4/C10</f>
        <v>69.209999999999994</v>
      </c>
      <c r="D11" s="12"/>
      <c r="E11" s="12">
        <f t="shared" ref="E11" si="1">E4/E10</f>
        <v>95</v>
      </c>
      <c r="F11" s="10"/>
      <c r="G11" s="10">
        <f>AVERAGE(B11:E11)</f>
        <v>79.49189448441247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>
      <c r="A12" s="11" t="s">
        <v>37</v>
      </c>
      <c r="B12" s="12">
        <f>(B4-B5)/B10</f>
        <v>74.265683453237415</v>
      </c>
      <c r="C12" s="12">
        <f>(C4-C5)/C10</f>
        <v>69.209999999999994</v>
      </c>
      <c r="D12" s="12"/>
      <c r="E12" s="12">
        <f t="shared" ref="E12" si="2">(E4-E5)/E10</f>
        <v>95</v>
      </c>
      <c r="F12" s="10"/>
      <c r="G12" s="10">
        <f>AVERAGE(B12:E12)</f>
        <v>79.49189448441247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ht="30.75">
      <c r="A13" s="15" t="s">
        <v>38</v>
      </c>
      <c r="B13" s="12">
        <f>(B4-B5-B6)/B10</f>
        <v>74.265683453237415</v>
      </c>
      <c r="C13" s="12">
        <f>(C4-C5-C6)/C10</f>
        <v>69.209999999999994</v>
      </c>
      <c r="D13" s="12"/>
      <c r="E13" s="12">
        <f t="shared" ref="E13" si="3">(E4-E5-E6)/E10</f>
        <v>95</v>
      </c>
      <c r="F13" s="10"/>
      <c r="G13" s="10">
        <f>AVERAGE(B13:E13)</f>
        <v>79.49189448441247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s="14" customFormat="1" ht="5.45" customHeight="1">
      <c r="A14" s="13"/>
      <c r="B14" s="13"/>
      <c r="C14" s="13"/>
      <c r="D14" s="13"/>
      <c r="E14" s="13"/>
    </row>
    <row r="15" spans="1:29" ht="30.75">
      <c r="A15" s="15" t="s">
        <v>39</v>
      </c>
      <c r="B15" s="12">
        <f>B11-B13</f>
        <v>0</v>
      </c>
      <c r="C15" s="12">
        <f>C11-C13</f>
        <v>0</v>
      </c>
      <c r="D15" s="12"/>
      <c r="E15" s="12">
        <f t="shared" ref="E15" si="4">E11-E13</f>
        <v>0</v>
      </c>
      <c r="F15" s="10"/>
      <c r="G15" s="10">
        <f>SUM(B15:E15)</f>
        <v>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ht="30.75">
      <c r="A16" s="15" t="s">
        <v>40</v>
      </c>
      <c r="B16" s="12">
        <f>B12-B13</f>
        <v>0</v>
      </c>
      <c r="C16" s="12">
        <f>C12-C13</f>
        <v>0</v>
      </c>
      <c r="D16" s="12"/>
      <c r="E16" s="12">
        <f t="shared" ref="E16" si="5">E12-E13</f>
        <v>0</v>
      </c>
      <c r="F16" s="10"/>
      <c r="G16" s="10">
        <f>SUM(B16:E16)</f>
        <v>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>
      <c r="A17" s="41" t="s">
        <v>41</v>
      </c>
      <c r="B17" s="42">
        <f>B4/B10</f>
        <v>74.265683453237415</v>
      </c>
      <c r="C17" s="42">
        <f>C4/C10</f>
        <v>69.209999999999994</v>
      </c>
      <c r="D17" s="42"/>
      <c r="E17" s="42">
        <f t="shared" ref="E17" si="6">E4/E10</f>
        <v>95</v>
      </c>
      <c r="F17" s="10"/>
      <c r="G17" s="10">
        <f>G4/G10</f>
        <v>74.376879432624108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9" spans="1:29">
      <c r="A19" s="22" t="s">
        <v>42</v>
      </c>
      <c r="B19" s="22" t="s">
        <v>9</v>
      </c>
      <c r="C19" s="22" t="s">
        <v>87</v>
      </c>
      <c r="D19" s="22" t="s">
        <v>95</v>
      </c>
      <c r="E19" s="22" t="s">
        <v>96</v>
      </c>
      <c r="G19" s="2"/>
    </row>
    <row r="20" spans="1:29" ht="88.5" customHeight="1">
      <c r="A20" s="23" t="s">
        <v>15</v>
      </c>
      <c r="B20" s="24" t="s">
        <v>16</v>
      </c>
      <c r="C20" s="81" t="s">
        <v>69</v>
      </c>
      <c r="D20" s="81" t="s">
        <v>82</v>
      </c>
      <c r="E20" s="81" t="s">
        <v>97</v>
      </c>
      <c r="G20" s="5"/>
      <c r="O20" s="19"/>
    </row>
    <row r="21" spans="1:29">
      <c r="A21" s="25" t="s">
        <v>17</v>
      </c>
      <c r="B21" s="33" t="s">
        <v>25</v>
      </c>
      <c r="C21" s="33" t="s">
        <v>92</v>
      </c>
      <c r="D21" s="33" t="s">
        <v>98</v>
      </c>
      <c r="E21" s="33" t="s">
        <v>99</v>
      </c>
      <c r="G21" s="7"/>
    </row>
    <row r="22" spans="1:29" s="16" customFormat="1">
      <c r="A22" s="26" t="s">
        <v>43</v>
      </c>
      <c r="B22" s="27">
        <v>141757.1</v>
      </c>
      <c r="C22" s="27">
        <v>54221.15</v>
      </c>
      <c r="D22" s="27"/>
      <c r="E22" s="27">
        <v>1086</v>
      </c>
      <c r="G22" s="16">
        <f>SUM(B22:E22)</f>
        <v>197064.25</v>
      </c>
    </row>
    <row r="23" spans="1:29" s="18" customFormat="1">
      <c r="A23" s="28" t="s">
        <v>44</v>
      </c>
      <c r="B23" s="29">
        <v>0.13089999999999999</v>
      </c>
      <c r="C23" s="29">
        <v>0.1341</v>
      </c>
      <c r="D23" s="29"/>
      <c r="E23" s="29">
        <v>0.153</v>
      </c>
      <c r="G23" s="18">
        <f>AVERAGE(B23:E23)</f>
        <v>0.13933333333333334</v>
      </c>
    </row>
    <row r="24" spans="1:29">
      <c r="A24" s="30" t="s">
        <v>45</v>
      </c>
      <c r="B24" s="31">
        <v>2107</v>
      </c>
      <c r="C24" s="31">
        <v>487</v>
      </c>
      <c r="D24" s="31"/>
      <c r="E24" s="31">
        <v>20</v>
      </c>
      <c r="G24" s="21">
        <f>SUM(B24:E24)</f>
        <v>2614</v>
      </c>
    </row>
    <row r="25" spans="1:29" ht="15" customHeight="1">
      <c r="A25" s="35" t="s">
        <v>46</v>
      </c>
      <c r="B25" s="27">
        <v>14736.67</v>
      </c>
      <c r="C25" s="82"/>
      <c r="D25" s="27"/>
      <c r="E25" s="27">
        <v>100</v>
      </c>
      <c r="G25" s="36">
        <f>SUM(B25:E25)</f>
        <v>14836.67</v>
      </c>
    </row>
    <row r="26" spans="1:29" ht="15" customHeight="1">
      <c r="A26" s="35" t="s">
        <v>41</v>
      </c>
      <c r="B26" s="38">
        <f>B22/B24</f>
        <v>67.279117228286665</v>
      </c>
      <c r="C26" s="38">
        <f t="shared" ref="C26:D26" si="7">C22/C24</f>
        <v>111.3370636550308</v>
      </c>
      <c r="D26" s="38" t="e">
        <f t="shared" si="7"/>
        <v>#DIV/0!</v>
      </c>
      <c r="E26" s="38">
        <f t="shared" ref="E26" si="8">E22/E24</f>
        <v>54.3</v>
      </c>
      <c r="G26" s="37">
        <f>G22/G24</f>
        <v>75.388006885998465</v>
      </c>
    </row>
  </sheetData>
  <conditionalFormatting sqref="C2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F2BF5-FA81-4CC6-9C1A-366DEA25C51A}">
  <dimension ref="A1:AB26"/>
  <sheetViews>
    <sheetView zoomScale="75" zoomScaleNormal="75" workbookViewId="0"/>
  </sheetViews>
  <sheetFormatPr defaultRowHeight="15" customHeight="1"/>
  <cols>
    <col min="1" max="1" width="30.7109375" customWidth="1"/>
    <col min="2" max="4" width="20.7109375" customWidth="1"/>
    <col min="5" max="5" width="21.28515625" customWidth="1"/>
    <col min="6" max="6" width="15.85546875" customWidth="1"/>
  </cols>
  <sheetData>
    <row r="1" spans="1:28" s="2" customFormat="1">
      <c r="A1" s="1" t="s">
        <v>61</v>
      </c>
      <c r="B1" s="1" t="s">
        <v>8</v>
      </c>
      <c r="C1" s="1" t="s">
        <v>51</v>
      </c>
      <c r="D1" s="73" t="s">
        <v>100</v>
      </c>
      <c r="F1" s="2" t="s">
        <v>14</v>
      </c>
    </row>
    <row r="2" spans="1:28" s="5" customFormat="1" ht="85.7" customHeight="1">
      <c r="A2" s="3" t="s">
        <v>15</v>
      </c>
      <c r="B2" s="17" t="s">
        <v>16</v>
      </c>
      <c r="C2" s="17" t="s">
        <v>55</v>
      </c>
      <c r="D2" s="17" t="s">
        <v>101</v>
      </c>
      <c r="E2" s="4"/>
    </row>
    <row r="3" spans="1:28" s="4" customFormat="1">
      <c r="A3" s="6" t="s">
        <v>17</v>
      </c>
      <c r="B3" s="32" t="s">
        <v>24</v>
      </c>
      <c r="C3" s="32" t="s">
        <v>58</v>
      </c>
      <c r="D3" s="72" t="s">
        <v>102</v>
      </c>
      <c r="F3" s="7"/>
    </row>
    <row r="4" spans="1:28">
      <c r="A4" s="8" t="s">
        <v>30</v>
      </c>
      <c r="B4" s="9">
        <v>9055.77</v>
      </c>
      <c r="C4" s="9">
        <v>561.5</v>
      </c>
      <c r="D4" s="9">
        <v>1881.24</v>
      </c>
      <c r="E4" s="10"/>
      <c r="F4" s="10">
        <f>SUM(B4:D4)</f>
        <v>11498.51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>
      <c r="A5" s="11" t="s">
        <v>31</v>
      </c>
      <c r="B5" s="12"/>
      <c r="C5" s="12"/>
      <c r="D5" s="12"/>
      <c r="E5" s="10"/>
      <c r="F5" s="10">
        <f>SUM(B5:B5)</f>
        <v>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>
      <c r="A6" s="11" t="s">
        <v>32</v>
      </c>
      <c r="B6" s="12"/>
      <c r="C6" s="12"/>
      <c r="D6" s="12"/>
      <c r="E6" s="10"/>
      <c r="F6" s="10">
        <f>SUM(B6:B6)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>
      <c r="A7" s="11" t="s">
        <v>33</v>
      </c>
      <c r="B7" s="12"/>
      <c r="C7" s="12"/>
      <c r="D7" s="12"/>
      <c r="E7" s="10"/>
      <c r="F7" s="10">
        <f>SUM(B7:B7)</f>
        <v>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>
      <c r="A8" s="11" t="s">
        <v>34</v>
      </c>
      <c r="B8" s="12">
        <f>B4-B5-B6</f>
        <v>9055.77</v>
      </c>
      <c r="C8" s="12">
        <f t="shared" ref="C8" si="0">C4-C5-C6</f>
        <v>561.5</v>
      </c>
      <c r="D8" s="12">
        <f t="shared" ref="D8" si="1">D4-D5-D6</f>
        <v>1881.24</v>
      </c>
      <c r="E8" s="10"/>
      <c r="F8" s="10">
        <f>SUM(B8:D8)</f>
        <v>11498.51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s="14" customFormat="1" ht="5.45" customHeight="1">
      <c r="A9" s="13"/>
      <c r="B9" s="13"/>
      <c r="C9" s="13"/>
      <c r="D9" s="13"/>
    </row>
    <row r="10" spans="1:28">
      <c r="A10" s="11" t="s">
        <v>35</v>
      </c>
      <c r="B10" s="20">
        <v>122</v>
      </c>
      <c r="C10" s="20">
        <v>9</v>
      </c>
      <c r="D10" s="20">
        <v>27</v>
      </c>
      <c r="F10" s="34">
        <f>SUM(B10:D10)</f>
        <v>158</v>
      </c>
    </row>
    <row r="11" spans="1:28">
      <c r="A11" s="11" t="s">
        <v>36</v>
      </c>
      <c r="B11" s="12">
        <f>B4/B10</f>
        <v>74.227622950819679</v>
      </c>
      <c r="C11" s="12">
        <f t="shared" ref="C11" si="2">C4/C10</f>
        <v>62.388888888888886</v>
      </c>
      <c r="D11" s="12">
        <f t="shared" ref="D11" si="3">D4/D10</f>
        <v>69.675555555555562</v>
      </c>
      <c r="E11" s="10"/>
      <c r="F11" s="10">
        <f>AVERAGE(B11:D11)</f>
        <v>68.764022465088033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>
      <c r="A12" s="11" t="s">
        <v>37</v>
      </c>
      <c r="B12" s="12">
        <f>(B4-B5)/B10</f>
        <v>74.227622950819679</v>
      </c>
      <c r="C12" s="12">
        <f t="shared" ref="C12" si="4">(C4-C5)/C10</f>
        <v>62.388888888888886</v>
      </c>
      <c r="D12" s="12">
        <f t="shared" ref="D12" si="5">(D4-D5)/D10</f>
        <v>69.675555555555562</v>
      </c>
      <c r="E12" s="10"/>
      <c r="F12" s="10">
        <f>AVERAGE(B12:D12)</f>
        <v>68.764022465088033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30.75">
      <c r="A13" s="15" t="s">
        <v>38</v>
      </c>
      <c r="B13" s="12">
        <f>(B4-B5-B6)/B10</f>
        <v>74.227622950819679</v>
      </c>
      <c r="C13" s="12">
        <f t="shared" ref="C13" si="6">(C4-C5-C6)/C10</f>
        <v>62.388888888888886</v>
      </c>
      <c r="D13" s="12">
        <f t="shared" ref="D13" si="7">(D4-D5-D6)/D10</f>
        <v>69.675555555555562</v>
      </c>
      <c r="E13" s="10"/>
      <c r="F13" s="10">
        <f>AVERAGE(B13:D13)</f>
        <v>68.764022465088033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s="14" customFormat="1" ht="5.45" customHeight="1">
      <c r="A14" s="13"/>
      <c r="B14" s="13"/>
      <c r="C14" s="13"/>
      <c r="D14" s="13"/>
    </row>
    <row r="15" spans="1:28" ht="30.75">
      <c r="A15" s="15" t="s">
        <v>39</v>
      </c>
      <c r="B15" s="12">
        <f>B11-B13</f>
        <v>0</v>
      </c>
      <c r="C15" s="12">
        <f t="shared" ref="C15" si="8">C11-C13</f>
        <v>0</v>
      </c>
      <c r="D15" s="12">
        <f t="shared" ref="D15" si="9">D11-D13</f>
        <v>0</v>
      </c>
      <c r="E15" s="10"/>
      <c r="F15" s="10">
        <f>SUM(B15:D15)</f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30.75">
      <c r="A16" s="15" t="s">
        <v>40</v>
      </c>
      <c r="B16" s="12">
        <f>B12-B13</f>
        <v>0</v>
      </c>
      <c r="C16" s="12">
        <f t="shared" ref="C16" si="10">C12-C13</f>
        <v>0</v>
      </c>
      <c r="D16" s="12">
        <f t="shared" ref="D16" si="11">D12-D13</f>
        <v>0</v>
      </c>
      <c r="E16" s="10"/>
      <c r="F16" s="10">
        <f>SUM(B16:D16)</f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>
      <c r="A17" s="41" t="s">
        <v>41</v>
      </c>
      <c r="B17" s="42">
        <f>B4/B10</f>
        <v>74.227622950819679</v>
      </c>
      <c r="C17" s="42">
        <f t="shared" ref="C17" si="12">C4/C10</f>
        <v>62.388888888888886</v>
      </c>
      <c r="D17" s="42">
        <f t="shared" ref="D17" si="13">D4/D10</f>
        <v>69.675555555555562</v>
      </c>
      <c r="E17" s="10"/>
      <c r="F17" s="10">
        <f>F4/F10</f>
        <v>72.775379746835441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9" spans="1:28">
      <c r="A19" s="22" t="s">
        <v>42</v>
      </c>
      <c r="B19" s="22" t="s">
        <v>8</v>
      </c>
      <c r="C19" s="22" t="s">
        <v>51</v>
      </c>
      <c r="D19" s="22" t="s">
        <v>100</v>
      </c>
      <c r="F19" s="2"/>
    </row>
    <row r="20" spans="1:28" ht="88.5" customHeight="1">
      <c r="A20" s="23" t="s">
        <v>15</v>
      </c>
      <c r="B20" s="24" t="s">
        <v>16</v>
      </c>
      <c r="C20" s="24" t="s">
        <v>55</v>
      </c>
      <c r="D20" s="24" t="s">
        <v>101</v>
      </c>
      <c r="F20" s="5"/>
      <c r="N20" s="19"/>
    </row>
    <row r="21" spans="1:28">
      <c r="A21" s="25" t="s">
        <v>17</v>
      </c>
      <c r="B21" s="33" t="s">
        <v>24</v>
      </c>
      <c r="C21" s="33" t="s">
        <v>58</v>
      </c>
      <c r="D21" s="33" t="s">
        <v>102</v>
      </c>
      <c r="F21" s="7"/>
    </row>
    <row r="22" spans="1:28" s="16" customFormat="1">
      <c r="A22" s="26" t="s">
        <v>43</v>
      </c>
      <c r="B22" s="27">
        <v>138025.23000000001</v>
      </c>
      <c r="C22" s="27">
        <v>9631.5499999999993</v>
      </c>
      <c r="D22" s="27">
        <v>55430.59</v>
      </c>
      <c r="F22" s="16">
        <f>SUM(B22:D22)</f>
        <v>203087.37</v>
      </c>
    </row>
    <row r="23" spans="1:28" s="18" customFormat="1">
      <c r="A23" s="28" t="s">
        <v>44</v>
      </c>
      <c r="B23" s="29">
        <v>0.12529999999999999</v>
      </c>
      <c r="C23" s="29">
        <v>8.6499999999999994E-2</v>
      </c>
      <c r="D23" s="29">
        <v>0.25650000000000001</v>
      </c>
      <c r="F23" s="18">
        <f>AVERAGE(B23:D23)</f>
        <v>0.15609999999999999</v>
      </c>
    </row>
    <row r="24" spans="1:28">
      <c r="A24" s="30" t="s">
        <v>45</v>
      </c>
      <c r="B24" s="31">
        <v>2121</v>
      </c>
      <c r="C24" s="31">
        <v>205</v>
      </c>
      <c r="D24" s="31">
        <v>876</v>
      </c>
      <c r="F24" s="21">
        <f>SUM(B24:D24)</f>
        <v>3202</v>
      </c>
    </row>
    <row r="25" spans="1:28" ht="15" customHeight="1">
      <c r="A25" s="35" t="s">
        <v>46</v>
      </c>
      <c r="B25" s="27">
        <v>14840.85</v>
      </c>
      <c r="C25" s="27">
        <v>1245</v>
      </c>
      <c r="D25" s="27">
        <v>4553.67</v>
      </c>
      <c r="F25" s="36">
        <f>SUM(B25:D25)</f>
        <v>20639.52</v>
      </c>
    </row>
    <row r="26" spans="1:28" ht="15" customHeight="1">
      <c r="A26" s="35" t="s">
        <v>41</v>
      </c>
      <c r="B26" s="38">
        <f>B22/B24</f>
        <v>65.075544554455448</v>
      </c>
      <c r="C26" s="38">
        <f t="shared" ref="C26" si="14">C22/C24</f>
        <v>46.983170731707311</v>
      </c>
      <c r="D26" s="38">
        <f t="shared" ref="C26:D26" si="15">D22/D24</f>
        <v>63.27692922374429</v>
      </c>
      <c r="F26" s="37">
        <f>F22/F24</f>
        <v>63.425162398500937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4E8A-00F8-493D-80AA-C0E8643B0A50}">
  <dimension ref="A1:Z26"/>
  <sheetViews>
    <sheetView zoomScale="75" zoomScaleNormal="75" workbookViewId="0">
      <selection activeCell="B1" sqref="B1"/>
    </sheetView>
  </sheetViews>
  <sheetFormatPr defaultRowHeight="15" customHeight="1"/>
  <cols>
    <col min="1" max="1" width="30.7109375" customWidth="1"/>
    <col min="2" max="2" width="20.7109375" customWidth="1"/>
    <col min="3" max="3" width="21.28515625" customWidth="1"/>
    <col min="4" max="4" width="15.85546875" customWidth="1"/>
  </cols>
  <sheetData>
    <row r="1" spans="1:26" s="2" customFormat="1">
      <c r="A1" s="1" t="s">
        <v>61</v>
      </c>
      <c r="B1" s="1" t="s">
        <v>7</v>
      </c>
      <c r="D1" s="2" t="s">
        <v>14</v>
      </c>
    </row>
    <row r="2" spans="1:26" s="5" customFormat="1" ht="85.7" customHeight="1">
      <c r="A2" s="3" t="s">
        <v>15</v>
      </c>
      <c r="B2" s="17" t="s">
        <v>16</v>
      </c>
      <c r="C2" s="4"/>
    </row>
    <row r="3" spans="1:26" s="4" customFormat="1">
      <c r="A3" s="6" t="s">
        <v>17</v>
      </c>
      <c r="B3" s="32" t="s">
        <v>23</v>
      </c>
      <c r="D3" s="7"/>
    </row>
    <row r="4" spans="1:26">
      <c r="A4" s="8" t="s">
        <v>30</v>
      </c>
      <c r="B4" s="9">
        <v>5931.45</v>
      </c>
      <c r="C4" s="10"/>
      <c r="D4" s="10">
        <f>SUM(B4:B4)</f>
        <v>5931.45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11" t="s">
        <v>31</v>
      </c>
      <c r="B5" s="12"/>
      <c r="C5" s="10"/>
      <c r="D5" s="10">
        <f>SUM(B5:B5)</f>
        <v>0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11" t="s">
        <v>32</v>
      </c>
      <c r="B6" s="12"/>
      <c r="C6" s="10"/>
      <c r="D6" s="10">
        <f>SUM(B6:B6)</f>
        <v>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11" t="s">
        <v>33</v>
      </c>
      <c r="B7" s="12"/>
      <c r="C7" s="10"/>
      <c r="D7" s="10">
        <f>SUM(B7:B7)</f>
        <v>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11" t="s">
        <v>34</v>
      </c>
      <c r="B8" s="12">
        <f>B4-B5-B6</f>
        <v>5931.45</v>
      </c>
      <c r="C8" s="10"/>
      <c r="D8" s="10">
        <f>SUM(B8:B8)</f>
        <v>5931.45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s="14" customFormat="1" ht="5.45" customHeight="1">
      <c r="A9" s="13"/>
      <c r="B9" s="13"/>
    </row>
    <row r="10" spans="1:26">
      <c r="A10" s="11" t="s">
        <v>35</v>
      </c>
      <c r="B10" s="20">
        <v>73</v>
      </c>
      <c r="D10" s="34">
        <f>SUM(B10:B10)</f>
        <v>73</v>
      </c>
    </row>
    <row r="11" spans="1:26">
      <c r="A11" s="11" t="s">
        <v>36</v>
      </c>
      <c r="B11" s="12">
        <f>B4/B10</f>
        <v>81.2527397260274</v>
      </c>
      <c r="C11" s="10"/>
      <c r="D11" s="10">
        <f>AVERAGE(B11:B11)</f>
        <v>81.2527397260274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11" t="s">
        <v>37</v>
      </c>
      <c r="B12" s="12">
        <f>(B4-B5)/B10</f>
        <v>81.2527397260274</v>
      </c>
      <c r="C12" s="10"/>
      <c r="D12" s="10">
        <f>AVERAGE(B12:B12)</f>
        <v>81.2527397260274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0.75">
      <c r="A13" s="15" t="s">
        <v>38</v>
      </c>
      <c r="B13" s="12">
        <f>(B4-B5-B6)/B10</f>
        <v>81.2527397260274</v>
      </c>
      <c r="C13" s="10"/>
      <c r="D13" s="10">
        <f>AVERAGE(B13:B13)</f>
        <v>81.2527397260274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s="14" customFormat="1" ht="5.45" customHeight="1">
      <c r="A14" s="13"/>
      <c r="B14" s="13"/>
    </row>
    <row r="15" spans="1:26" ht="30.75">
      <c r="A15" s="15" t="s">
        <v>39</v>
      </c>
      <c r="B15" s="12">
        <f>B11-B13</f>
        <v>0</v>
      </c>
      <c r="C15" s="10"/>
      <c r="D15" s="10">
        <f>SUM(B15:B15)</f>
        <v>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0.75">
      <c r="A16" s="15" t="s">
        <v>40</v>
      </c>
      <c r="B16" s="12">
        <f>B12-B13</f>
        <v>0</v>
      </c>
      <c r="C16" s="10"/>
      <c r="D16" s="10">
        <f>SUM(B16:B16)</f>
        <v>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41" t="s">
        <v>41</v>
      </c>
      <c r="B17" s="42">
        <f>B4/B10</f>
        <v>81.2527397260274</v>
      </c>
      <c r="C17" s="10"/>
      <c r="D17" s="10">
        <f>D4/D10</f>
        <v>81.2527397260274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9" spans="1:26">
      <c r="A19" s="22" t="s">
        <v>42</v>
      </c>
      <c r="B19" s="22" t="s">
        <v>7</v>
      </c>
      <c r="D19" s="2"/>
    </row>
    <row r="20" spans="1:26" ht="88.5" customHeight="1">
      <c r="A20" s="23" t="s">
        <v>15</v>
      </c>
      <c r="B20" s="24" t="s">
        <v>16</v>
      </c>
      <c r="D20" s="5"/>
      <c r="L20" s="19"/>
    </row>
    <row r="21" spans="1:26">
      <c r="A21" s="25" t="s">
        <v>17</v>
      </c>
      <c r="B21" s="33" t="s">
        <v>23</v>
      </c>
      <c r="D21" s="7"/>
    </row>
    <row r="22" spans="1:26" s="16" customFormat="1">
      <c r="A22" s="26" t="s">
        <v>43</v>
      </c>
      <c r="B22" s="27">
        <v>114191.94</v>
      </c>
      <c r="D22" s="16">
        <f>SUM(B22:B22)</f>
        <v>114191.94</v>
      </c>
    </row>
    <row r="23" spans="1:26" s="18" customFormat="1">
      <c r="A23" s="28" t="s">
        <v>44</v>
      </c>
      <c r="B23" s="29">
        <v>0.1268</v>
      </c>
      <c r="D23" s="18">
        <f>AVERAGE(B23:B23)</f>
        <v>0.1268</v>
      </c>
    </row>
    <row r="24" spans="1:26">
      <c r="A24" s="30" t="s">
        <v>45</v>
      </c>
      <c r="B24" s="31">
        <v>1678</v>
      </c>
      <c r="D24" s="21">
        <f>SUM(B24:B24)</f>
        <v>1678</v>
      </c>
    </row>
    <row r="25" spans="1:26" ht="15" customHeight="1">
      <c r="A25" s="35" t="s">
        <v>46</v>
      </c>
      <c r="B25" s="27">
        <v>11746</v>
      </c>
      <c r="D25" s="36">
        <f>SUM(B25:B25)</f>
        <v>11746</v>
      </c>
    </row>
    <row r="26" spans="1:26" ht="15" customHeight="1">
      <c r="A26" s="35" t="s">
        <v>41</v>
      </c>
      <c r="B26" s="38">
        <f>B22/B24</f>
        <v>68.052407628128719</v>
      </c>
      <c r="D26" s="37">
        <f>D22/D24</f>
        <v>68.052407628128719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8B6B-4E6B-46AF-8525-887397CCE392}">
  <dimension ref="A1:AE26"/>
  <sheetViews>
    <sheetView topLeftCell="B1" zoomScale="75" zoomScaleNormal="75" workbookViewId="0">
      <selection activeCell="E2" sqref="E2"/>
    </sheetView>
  </sheetViews>
  <sheetFormatPr defaultRowHeight="15" customHeight="1"/>
  <cols>
    <col min="1" max="1" width="30.7109375" customWidth="1"/>
    <col min="2" max="6" width="20.7109375" customWidth="1"/>
    <col min="7" max="7" width="24.5703125" customWidth="1"/>
    <col min="8" max="8" width="21.28515625" customWidth="1"/>
    <col min="9" max="9" width="15.85546875" customWidth="1"/>
  </cols>
  <sheetData>
    <row r="1" spans="1:31" s="2" customFormat="1">
      <c r="A1" s="1" t="s">
        <v>61</v>
      </c>
      <c r="B1" s="1" t="s">
        <v>6</v>
      </c>
      <c r="C1" s="1" t="s">
        <v>103</v>
      </c>
      <c r="D1" s="1" t="s">
        <v>104</v>
      </c>
      <c r="E1" s="73" t="s">
        <v>105</v>
      </c>
      <c r="F1" s="73" t="s">
        <v>106</v>
      </c>
      <c r="G1" s="73" t="s">
        <v>107</v>
      </c>
      <c r="I1" s="2" t="s">
        <v>14</v>
      </c>
    </row>
    <row r="2" spans="1:31" s="5" customFormat="1" ht="85.7" customHeight="1">
      <c r="A2" s="3" t="s">
        <v>15</v>
      </c>
      <c r="B2" s="17" t="s">
        <v>16</v>
      </c>
      <c r="C2" s="17" t="s">
        <v>108</v>
      </c>
      <c r="D2" s="17" t="s">
        <v>108</v>
      </c>
      <c r="E2" s="55" t="s">
        <v>82</v>
      </c>
      <c r="F2" s="17" t="s">
        <v>109</v>
      </c>
      <c r="G2" s="55" t="s">
        <v>110</v>
      </c>
      <c r="H2" s="4"/>
    </row>
    <row r="3" spans="1:31" s="4" customFormat="1">
      <c r="A3" s="6" t="s">
        <v>17</v>
      </c>
      <c r="B3" s="32" t="s">
        <v>22</v>
      </c>
      <c r="C3" s="32" t="s">
        <v>111</v>
      </c>
      <c r="D3" s="32" t="s">
        <v>112</v>
      </c>
      <c r="E3" s="32" t="s">
        <v>113</v>
      </c>
      <c r="F3" s="72" t="s">
        <v>114</v>
      </c>
      <c r="G3" s="72" t="s">
        <v>115</v>
      </c>
      <c r="I3" s="7"/>
    </row>
    <row r="4" spans="1:31">
      <c r="A4" s="8" t="s">
        <v>30</v>
      </c>
      <c r="B4" s="9">
        <v>8933.1</v>
      </c>
      <c r="C4" s="9"/>
      <c r="D4" s="9">
        <v>105.88</v>
      </c>
      <c r="E4" s="9"/>
      <c r="F4" s="9"/>
      <c r="G4" s="9"/>
      <c r="H4" s="10"/>
      <c r="I4" s="10">
        <f>SUM(B4:G4)</f>
        <v>9038.98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31">
      <c r="A5" s="11" t="s">
        <v>31</v>
      </c>
      <c r="B5" s="12"/>
      <c r="C5" s="12"/>
      <c r="D5" s="12"/>
      <c r="E5" s="12"/>
      <c r="F5" s="12"/>
      <c r="G5" s="9"/>
      <c r="H5" s="10"/>
      <c r="I5" s="10">
        <f>SUM(B5:G5)</f>
        <v>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>
      <c r="A6" s="11" t="s">
        <v>32</v>
      </c>
      <c r="B6" s="12"/>
      <c r="C6" s="12"/>
      <c r="D6" s="12"/>
      <c r="E6" s="12"/>
      <c r="F6" s="12"/>
      <c r="G6" s="9"/>
      <c r="H6" s="10"/>
      <c r="I6" s="10">
        <f>SUM(B6:G6)</f>
        <v>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>
      <c r="A7" s="11" t="s">
        <v>33</v>
      </c>
      <c r="B7" s="12"/>
      <c r="C7" s="12"/>
      <c r="D7" s="12"/>
      <c r="E7" s="12"/>
      <c r="F7" s="12"/>
      <c r="G7" s="9"/>
      <c r="H7" s="10"/>
      <c r="I7" s="10">
        <f>SUM(B7:G7)</f>
        <v>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>
      <c r="A8" s="11" t="s">
        <v>34</v>
      </c>
      <c r="B8" s="12">
        <f>B4-B5-B6</f>
        <v>8933.1</v>
      </c>
      <c r="C8" s="12">
        <f t="shared" ref="C8:G8" si="0">C4-C5-C6</f>
        <v>0</v>
      </c>
      <c r="D8" s="12">
        <f t="shared" si="0"/>
        <v>105.88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0"/>
      <c r="I8" s="10">
        <f>SUM(B8:G8)</f>
        <v>9038.98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14" customFormat="1" ht="5.45" customHeight="1">
      <c r="A9" s="13"/>
      <c r="B9" s="13"/>
      <c r="C9" s="13"/>
      <c r="D9" s="13">
        <v>1</v>
      </c>
      <c r="E9" s="13"/>
      <c r="F9" s="13"/>
      <c r="G9" s="13"/>
    </row>
    <row r="10" spans="1:31">
      <c r="A10" s="11" t="s">
        <v>35</v>
      </c>
      <c r="B10" s="20">
        <v>134</v>
      </c>
      <c r="C10" s="20"/>
      <c r="D10" s="20">
        <v>1</v>
      </c>
      <c r="E10" s="20"/>
      <c r="F10" s="20"/>
      <c r="G10" s="20"/>
      <c r="I10" s="34">
        <f>SUM(B10:G10)</f>
        <v>135</v>
      </c>
    </row>
    <row r="11" spans="1:31">
      <c r="A11" s="11" t="s">
        <v>36</v>
      </c>
      <c r="B11" s="12">
        <f>B4/B10</f>
        <v>66.664925373134338</v>
      </c>
      <c r="C11" s="12" t="e">
        <f t="shared" ref="C11:G11" si="1">C4/C10</f>
        <v>#DIV/0!</v>
      </c>
      <c r="D11" s="12">
        <f t="shared" si="1"/>
        <v>105.88</v>
      </c>
      <c r="E11" s="12" t="e">
        <f t="shared" si="1"/>
        <v>#DIV/0!</v>
      </c>
      <c r="F11" s="12" t="e">
        <f t="shared" si="1"/>
        <v>#DIV/0!</v>
      </c>
      <c r="G11" s="12" t="e">
        <f t="shared" si="1"/>
        <v>#DIV/0!</v>
      </c>
      <c r="H11" s="10"/>
      <c r="I11" s="10" t="e">
        <f>AVERAGE(B11:G11)</f>
        <v>#DIV/0!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>
      <c r="A12" s="11" t="s">
        <v>37</v>
      </c>
      <c r="B12" s="12">
        <f>(B4-B5)/B10</f>
        <v>66.664925373134338</v>
      </c>
      <c r="C12" s="12" t="e">
        <f t="shared" ref="C12:G12" si="2">(C4-C5)/C10</f>
        <v>#DIV/0!</v>
      </c>
      <c r="D12" s="12">
        <f t="shared" si="2"/>
        <v>105.88</v>
      </c>
      <c r="E12" s="12" t="e">
        <f t="shared" si="2"/>
        <v>#DIV/0!</v>
      </c>
      <c r="F12" s="12" t="e">
        <f t="shared" si="2"/>
        <v>#DIV/0!</v>
      </c>
      <c r="G12" s="12" t="e">
        <f t="shared" si="2"/>
        <v>#DIV/0!</v>
      </c>
      <c r="H12" s="10"/>
      <c r="I12" s="10" t="e">
        <f>AVERAGE(B12:G12)</f>
        <v>#DIV/0!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ht="30.75">
      <c r="A13" s="15" t="s">
        <v>38</v>
      </c>
      <c r="B13" s="12">
        <f>(B4-B5-B6)/B10</f>
        <v>66.664925373134338</v>
      </c>
      <c r="C13" s="12" t="e">
        <f t="shared" ref="C13:G13" si="3">(C4-C5-C6)/C10</f>
        <v>#DIV/0!</v>
      </c>
      <c r="D13" s="12">
        <f t="shared" si="3"/>
        <v>105.88</v>
      </c>
      <c r="E13" s="12" t="e">
        <f t="shared" si="3"/>
        <v>#DIV/0!</v>
      </c>
      <c r="F13" s="12" t="e">
        <f t="shared" si="3"/>
        <v>#DIV/0!</v>
      </c>
      <c r="G13" s="12" t="e">
        <f t="shared" si="3"/>
        <v>#DIV/0!</v>
      </c>
      <c r="H13" s="10"/>
      <c r="I13" s="10" t="e">
        <f>AVERAGE(B13:G13)</f>
        <v>#DIV/0!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14" customFormat="1" ht="5.45" customHeight="1">
      <c r="A14" s="13"/>
      <c r="B14" s="13"/>
      <c r="C14" s="13"/>
      <c r="D14" s="13"/>
      <c r="E14" s="13"/>
      <c r="F14" s="13"/>
      <c r="G14" s="13"/>
    </row>
    <row r="15" spans="1:31" ht="30.75">
      <c r="A15" s="15" t="s">
        <v>39</v>
      </c>
      <c r="B15" s="12">
        <f>B11-B13</f>
        <v>0</v>
      </c>
      <c r="C15" s="12" t="e">
        <f t="shared" ref="C15:G15" si="4">C11-C13</f>
        <v>#DIV/0!</v>
      </c>
      <c r="D15" s="12">
        <f t="shared" si="4"/>
        <v>0</v>
      </c>
      <c r="E15" s="12" t="e">
        <f t="shared" si="4"/>
        <v>#DIV/0!</v>
      </c>
      <c r="F15" s="12" t="e">
        <f t="shared" si="4"/>
        <v>#DIV/0!</v>
      </c>
      <c r="G15" s="12" t="e">
        <f t="shared" si="4"/>
        <v>#DIV/0!</v>
      </c>
      <c r="H15" s="10"/>
      <c r="I15" s="10" t="e">
        <f>SUM(B15:G15)</f>
        <v>#DIV/0!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ht="30.75">
      <c r="A16" s="15" t="s">
        <v>40</v>
      </c>
      <c r="B16" s="12">
        <f>B12-B13</f>
        <v>0</v>
      </c>
      <c r="C16" s="12" t="e">
        <f t="shared" ref="C16:G16" si="5">C12-C13</f>
        <v>#DIV/0!</v>
      </c>
      <c r="D16" s="12">
        <f t="shared" si="5"/>
        <v>0</v>
      </c>
      <c r="E16" s="12" t="e">
        <f t="shared" si="5"/>
        <v>#DIV/0!</v>
      </c>
      <c r="F16" s="12" t="e">
        <f t="shared" si="5"/>
        <v>#DIV/0!</v>
      </c>
      <c r="G16" s="12" t="e">
        <f t="shared" si="5"/>
        <v>#DIV/0!</v>
      </c>
      <c r="H16" s="10"/>
      <c r="I16" s="10" t="e">
        <f>SUM(B16:G16)</f>
        <v>#DIV/0!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>
      <c r="A17" s="41" t="s">
        <v>41</v>
      </c>
      <c r="B17" s="42">
        <f>B4/B10</f>
        <v>66.664925373134338</v>
      </c>
      <c r="C17" s="42" t="e">
        <f t="shared" ref="C17:G17" si="6">C4/C10</f>
        <v>#DIV/0!</v>
      </c>
      <c r="D17" s="42">
        <f t="shared" si="6"/>
        <v>105.88</v>
      </c>
      <c r="E17" s="42" t="e">
        <f t="shared" si="6"/>
        <v>#DIV/0!</v>
      </c>
      <c r="F17" s="42" t="e">
        <f t="shared" si="6"/>
        <v>#DIV/0!</v>
      </c>
      <c r="G17" s="42" t="e">
        <f t="shared" si="6"/>
        <v>#DIV/0!</v>
      </c>
      <c r="H17" s="10"/>
      <c r="I17" s="10">
        <f>I4/I10</f>
        <v>66.955407407407407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9" spans="1:31">
      <c r="A19" s="22" t="s">
        <v>42</v>
      </c>
      <c r="B19" s="22" t="s">
        <v>6</v>
      </c>
      <c r="C19" s="22" t="s">
        <v>103</v>
      </c>
      <c r="D19" s="22" t="s">
        <v>104</v>
      </c>
      <c r="E19" s="22" t="s">
        <v>105</v>
      </c>
      <c r="F19" s="22" t="s">
        <v>106</v>
      </c>
      <c r="G19" s="22" t="s">
        <v>107</v>
      </c>
      <c r="I19" s="2"/>
    </row>
    <row r="20" spans="1:31" ht="88.5" customHeight="1">
      <c r="A20" s="23" t="s">
        <v>15</v>
      </c>
      <c r="B20" s="24" t="s">
        <v>16</v>
      </c>
      <c r="C20" s="24" t="s">
        <v>108</v>
      </c>
      <c r="D20" s="24" t="s">
        <v>108</v>
      </c>
      <c r="E20" s="78" t="s">
        <v>82</v>
      </c>
      <c r="F20" s="24" t="s">
        <v>109</v>
      </c>
      <c r="G20" s="78" t="s">
        <v>110</v>
      </c>
      <c r="I20" s="5"/>
      <c r="Q20" s="19"/>
    </row>
    <row r="21" spans="1:31">
      <c r="A21" s="25" t="s">
        <v>17</v>
      </c>
      <c r="B21" s="33" t="s">
        <v>22</v>
      </c>
      <c r="C21" s="33" t="s">
        <v>111</v>
      </c>
      <c r="D21" s="33" t="s">
        <v>112</v>
      </c>
      <c r="E21" s="33" t="s">
        <v>113</v>
      </c>
      <c r="F21" s="33" t="s">
        <v>114</v>
      </c>
      <c r="G21" s="33" t="s">
        <v>115</v>
      </c>
      <c r="I21" s="7"/>
    </row>
    <row r="22" spans="1:31" s="16" customFormat="1">
      <c r="A22" s="26" t="s">
        <v>43</v>
      </c>
      <c r="B22" s="27">
        <v>141722.38</v>
      </c>
      <c r="C22" s="27">
        <v>23924.32</v>
      </c>
      <c r="D22" s="27">
        <v>11819.79</v>
      </c>
      <c r="E22" s="27">
        <v>3127.86</v>
      </c>
      <c r="F22" s="27">
        <v>6714.8</v>
      </c>
      <c r="G22" s="74">
        <v>2516.41</v>
      </c>
      <c r="I22" s="16">
        <f>SUM(B22:G22)</f>
        <v>189825.56</v>
      </c>
    </row>
    <row r="23" spans="1:31" s="18" customFormat="1">
      <c r="A23" s="28" t="s">
        <v>44</v>
      </c>
      <c r="B23" s="29">
        <v>0.13639999999999999</v>
      </c>
      <c r="C23" s="29">
        <v>9.8299999999999998E-2</v>
      </c>
      <c r="D23" s="29">
        <v>9.1700000000000004E-2</v>
      </c>
      <c r="E23" s="29">
        <v>0.32200000000000001</v>
      </c>
      <c r="F23" s="29">
        <v>0.20039999999999999</v>
      </c>
      <c r="G23" s="75">
        <v>0.1716</v>
      </c>
      <c r="I23" s="18">
        <f>AVERAGE(B23:G23)</f>
        <v>0.1700666666666667</v>
      </c>
    </row>
    <row r="24" spans="1:31">
      <c r="A24" s="30" t="s">
        <v>45</v>
      </c>
      <c r="B24" s="31">
        <v>2040</v>
      </c>
      <c r="C24" s="31">
        <v>195</v>
      </c>
      <c r="D24" s="31">
        <v>102</v>
      </c>
      <c r="E24" s="31">
        <v>48</v>
      </c>
      <c r="F24" s="31">
        <v>70</v>
      </c>
      <c r="G24" s="76">
        <v>48</v>
      </c>
      <c r="I24" s="21">
        <f>SUM(B24:G24)</f>
        <v>2503</v>
      </c>
    </row>
    <row r="25" spans="1:31" ht="15" customHeight="1">
      <c r="A25" s="35" t="s">
        <v>46</v>
      </c>
      <c r="B25" s="27"/>
      <c r="C25" s="27"/>
      <c r="D25" s="27"/>
      <c r="E25" s="27"/>
      <c r="F25" s="27"/>
      <c r="G25" s="74"/>
      <c r="I25" s="36">
        <f>SUM(B25:G25)</f>
        <v>0</v>
      </c>
    </row>
    <row r="26" spans="1:31" ht="15" customHeight="1">
      <c r="A26" s="35" t="s">
        <v>41</v>
      </c>
      <c r="B26" s="38">
        <f>B22/B24</f>
        <v>69.471754901960793</v>
      </c>
      <c r="C26" s="38">
        <f t="shared" ref="C26:D26" si="7">C22/C24</f>
        <v>122.68882051282051</v>
      </c>
      <c r="D26" s="38">
        <f t="shared" si="7"/>
        <v>115.88029411764707</v>
      </c>
      <c r="E26" s="38">
        <f t="shared" ref="C26:G26" si="8">E22/E24</f>
        <v>65.163750000000007</v>
      </c>
      <c r="F26" s="38">
        <f t="shared" si="8"/>
        <v>95.925714285714292</v>
      </c>
      <c r="G26" s="38">
        <f t="shared" si="8"/>
        <v>52.42520833333333</v>
      </c>
      <c r="I26" s="37">
        <f>I22/I24</f>
        <v>75.839216939672397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EBD2-03DA-422F-BD2E-656B5E27D0B1}">
  <dimension ref="A1:AG26"/>
  <sheetViews>
    <sheetView topLeftCell="A15" zoomScale="75" zoomScaleNormal="75" workbookViewId="0">
      <selection activeCell="D22" sqref="D22:E26"/>
    </sheetView>
  </sheetViews>
  <sheetFormatPr defaultRowHeight="15" customHeight="1"/>
  <cols>
    <col min="1" max="1" width="30.7109375" customWidth="1"/>
    <col min="2" max="7" width="20.7109375" customWidth="1"/>
    <col min="8" max="8" width="24.5703125" customWidth="1"/>
    <col min="9" max="9" width="20.7109375" customWidth="1"/>
    <col min="10" max="10" width="21.28515625" customWidth="1"/>
    <col min="11" max="11" width="15.85546875" customWidth="1"/>
  </cols>
  <sheetData>
    <row r="1" spans="1:33" s="2" customFormat="1">
      <c r="A1" s="1" t="s">
        <v>61</v>
      </c>
      <c r="B1" s="1" t="s">
        <v>5</v>
      </c>
      <c r="C1" s="1" t="s">
        <v>50</v>
      </c>
      <c r="D1" s="1" t="s">
        <v>103</v>
      </c>
      <c r="E1" s="1" t="s">
        <v>104</v>
      </c>
      <c r="F1" s="73" t="s">
        <v>116</v>
      </c>
      <c r="G1" s="73" t="s">
        <v>117</v>
      </c>
      <c r="H1" s="73" t="s">
        <v>118</v>
      </c>
      <c r="I1" s="54" t="s">
        <v>119</v>
      </c>
      <c r="K1" s="2" t="s">
        <v>14</v>
      </c>
    </row>
    <row r="2" spans="1:33" s="5" customFormat="1" ht="85.7" customHeight="1">
      <c r="A2" s="3" t="s">
        <v>15</v>
      </c>
      <c r="B2" s="17" t="s">
        <v>16</v>
      </c>
      <c r="C2" s="17" t="s">
        <v>120</v>
      </c>
      <c r="D2" s="17" t="s">
        <v>108</v>
      </c>
      <c r="E2" s="17" t="s">
        <v>108</v>
      </c>
      <c r="F2" s="17" t="s">
        <v>121</v>
      </c>
      <c r="G2" s="17" t="s">
        <v>121</v>
      </c>
      <c r="H2" s="55" t="s">
        <v>82</v>
      </c>
      <c r="I2" s="55" t="s">
        <v>122</v>
      </c>
      <c r="J2" s="4"/>
    </row>
    <row r="3" spans="1:33" s="4" customFormat="1">
      <c r="A3" s="6" t="s">
        <v>17</v>
      </c>
      <c r="B3" s="32" t="s">
        <v>21</v>
      </c>
      <c r="C3" s="32" t="s">
        <v>57</v>
      </c>
      <c r="D3" s="32"/>
      <c r="E3" s="32"/>
      <c r="F3" s="32" t="s">
        <v>123</v>
      </c>
      <c r="G3" s="72" t="s">
        <v>124</v>
      </c>
      <c r="H3" s="72" t="s">
        <v>125</v>
      </c>
      <c r="I3" s="56" t="s">
        <v>126</v>
      </c>
      <c r="K3" s="7"/>
    </row>
    <row r="4" spans="1:33">
      <c r="A4" s="8" t="s">
        <v>30</v>
      </c>
      <c r="B4" s="9">
        <v>10109.799999999999</v>
      </c>
      <c r="C4" s="9">
        <v>1330</v>
      </c>
      <c r="D4" s="9"/>
      <c r="E4" s="9"/>
      <c r="F4" s="9"/>
      <c r="G4" s="9"/>
      <c r="H4" s="9"/>
      <c r="I4" s="61"/>
      <c r="J4" s="10"/>
      <c r="K4" s="10">
        <f>SUM(B4:I4)</f>
        <v>11439.8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>
      <c r="A5" s="11" t="s">
        <v>31</v>
      </c>
      <c r="B5" s="12"/>
      <c r="C5" s="12"/>
      <c r="D5" s="12"/>
      <c r="E5" s="12"/>
      <c r="F5" s="12"/>
      <c r="G5" s="12"/>
      <c r="H5" s="9"/>
      <c r="I5" s="62"/>
      <c r="J5" s="10"/>
      <c r="K5" s="10">
        <f>SUM(B5:I5)</f>
        <v>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>
      <c r="A6" s="11" t="s">
        <v>32</v>
      </c>
      <c r="B6" s="12"/>
      <c r="C6" s="12"/>
      <c r="D6" s="12"/>
      <c r="E6" s="12"/>
      <c r="F6" s="12"/>
      <c r="G6" s="12"/>
      <c r="H6" s="9"/>
      <c r="I6" s="62"/>
      <c r="J6" s="10"/>
      <c r="K6" s="10">
        <f>SUM(B6:I6)</f>
        <v>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>
      <c r="A7" s="11" t="s">
        <v>33</v>
      </c>
      <c r="B7" s="12"/>
      <c r="C7" s="12"/>
      <c r="D7" s="12"/>
      <c r="E7" s="12"/>
      <c r="F7" s="12"/>
      <c r="G7" s="12"/>
      <c r="H7" s="9"/>
      <c r="I7" s="62"/>
      <c r="J7" s="10"/>
      <c r="K7" s="10">
        <f>SUM(B7:I7)</f>
        <v>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>
      <c r="A8" s="11" t="s">
        <v>34</v>
      </c>
      <c r="B8" s="12">
        <f>B4-B5-B6</f>
        <v>10109.799999999999</v>
      </c>
      <c r="C8" s="12">
        <f t="shared" ref="C8:I8" si="0">C4-C5-C6</f>
        <v>1330</v>
      </c>
      <c r="D8" s="12">
        <f t="shared" ref="D8:E8" si="1">D4-D5-D6</f>
        <v>0</v>
      </c>
      <c r="E8" s="12">
        <f t="shared" si="1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0"/>
      <c r="K8" s="10">
        <f>SUM(B8:I8)</f>
        <v>11439.8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s="14" customFormat="1" ht="5.45" customHeight="1">
      <c r="A9" s="13"/>
      <c r="B9" s="13"/>
      <c r="C9" s="13"/>
      <c r="D9" s="13"/>
      <c r="E9" s="13"/>
      <c r="F9" s="13"/>
      <c r="G9" s="13"/>
      <c r="H9" s="13"/>
      <c r="I9" s="13"/>
    </row>
    <row r="10" spans="1:33">
      <c r="A10" s="11" t="s">
        <v>35</v>
      </c>
      <c r="B10" s="20">
        <v>129</v>
      </c>
      <c r="C10" s="20">
        <v>16</v>
      </c>
      <c r="D10" s="20"/>
      <c r="E10" s="20"/>
      <c r="F10" s="20"/>
      <c r="G10" s="20"/>
      <c r="H10" s="20"/>
      <c r="I10" s="20"/>
      <c r="K10" s="34">
        <f>SUM(B10:I10)</f>
        <v>145</v>
      </c>
    </row>
    <row r="11" spans="1:33">
      <c r="A11" s="11" t="s">
        <v>36</v>
      </c>
      <c r="B11" s="12">
        <f>B4/B10</f>
        <v>78.370542635658907</v>
      </c>
      <c r="C11" s="12">
        <f t="shared" ref="C11:I11" si="2">C4/C10</f>
        <v>83.125</v>
      </c>
      <c r="D11" s="12" t="e">
        <f t="shared" ref="D11:E11" si="3">D4/D10</f>
        <v>#DIV/0!</v>
      </c>
      <c r="E11" s="12" t="e">
        <f t="shared" si="3"/>
        <v>#DIV/0!</v>
      </c>
      <c r="F11" s="12" t="e">
        <f t="shared" si="2"/>
        <v>#DIV/0!</v>
      </c>
      <c r="G11" s="12" t="e">
        <f t="shared" si="2"/>
        <v>#DIV/0!</v>
      </c>
      <c r="H11" s="12" t="e">
        <f t="shared" si="2"/>
        <v>#DIV/0!</v>
      </c>
      <c r="I11" s="12" t="e">
        <f t="shared" si="2"/>
        <v>#DIV/0!</v>
      </c>
      <c r="J11" s="10"/>
      <c r="K11" s="10" t="e">
        <f>AVERAGE(B11:I11)</f>
        <v>#DIV/0!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>
      <c r="A12" s="11" t="s">
        <v>37</v>
      </c>
      <c r="B12" s="12">
        <f>(B4-B5)/B10</f>
        <v>78.370542635658907</v>
      </c>
      <c r="C12" s="12">
        <f t="shared" ref="C12:I12" si="4">(C4-C5)/C10</f>
        <v>83.125</v>
      </c>
      <c r="D12" s="12" t="e">
        <f t="shared" ref="D12:E12" si="5">(D4-D5)/D10</f>
        <v>#DIV/0!</v>
      </c>
      <c r="E12" s="12" t="e">
        <f t="shared" si="5"/>
        <v>#DIV/0!</v>
      </c>
      <c r="F12" s="12" t="e">
        <f t="shared" si="4"/>
        <v>#DIV/0!</v>
      </c>
      <c r="G12" s="12" t="e">
        <f t="shared" si="4"/>
        <v>#DIV/0!</v>
      </c>
      <c r="H12" s="12" t="e">
        <f t="shared" si="4"/>
        <v>#DIV/0!</v>
      </c>
      <c r="I12" s="12" t="e">
        <f t="shared" si="4"/>
        <v>#DIV/0!</v>
      </c>
      <c r="J12" s="10"/>
      <c r="K12" s="10" t="e">
        <f>AVERAGE(B12:I12)</f>
        <v>#DIV/0!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30.75">
      <c r="A13" s="15" t="s">
        <v>38</v>
      </c>
      <c r="B13" s="12">
        <f>(B4-B5-B6)/B10</f>
        <v>78.370542635658907</v>
      </c>
      <c r="C13" s="12">
        <f t="shared" ref="C13:I13" si="6">(C4-C5-C6)/C10</f>
        <v>83.125</v>
      </c>
      <c r="D13" s="12" t="e">
        <f t="shared" ref="D13:E13" si="7">(D4-D5-D6)/D10</f>
        <v>#DIV/0!</v>
      </c>
      <c r="E13" s="12" t="e">
        <f t="shared" si="7"/>
        <v>#DIV/0!</v>
      </c>
      <c r="F13" s="12" t="e">
        <f t="shared" si="6"/>
        <v>#DIV/0!</v>
      </c>
      <c r="G13" s="12" t="e">
        <f t="shared" si="6"/>
        <v>#DIV/0!</v>
      </c>
      <c r="H13" s="12" t="e">
        <f t="shared" si="6"/>
        <v>#DIV/0!</v>
      </c>
      <c r="I13" s="12" t="e">
        <f t="shared" si="6"/>
        <v>#DIV/0!</v>
      </c>
      <c r="J13" s="10"/>
      <c r="K13" s="10" t="e">
        <f>AVERAGE(B13:I13)</f>
        <v>#DIV/0!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s="14" customFormat="1" ht="5.45" customHeight="1">
      <c r="A14" s="13"/>
      <c r="B14" s="13"/>
      <c r="C14" s="13"/>
      <c r="D14" s="13"/>
      <c r="E14" s="13"/>
      <c r="F14" s="13"/>
      <c r="G14" s="13"/>
      <c r="H14" s="13"/>
      <c r="I14" s="13"/>
    </row>
    <row r="15" spans="1:33" ht="30.75">
      <c r="A15" s="15" t="s">
        <v>39</v>
      </c>
      <c r="B15" s="12">
        <f>B11-B13</f>
        <v>0</v>
      </c>
      <c r="C15" s="12">
        <f t="shared" ref="C15:I15" si="8">C11-C13</f>
        <v>0</v>
      </c>
      <c r="D15" s="12" t="e">
        <f t="shared" ref="D15:E15" si="9">D11-D13</f>
        <v>#DIV/0!</v>
      </c>
      <c r="E15" s="12" t="e">
        <f t="shared" si="9"/>
        <v>#DIV/0!</v>
      </c>
      <c r="F15" s="12" t="e">
        <f t="shared" si="8"/>
        <v>#DIV/0!</v>
      </c>
      <c r="G15" s="12" t="e">
        <f t="shared" si="8"/>
        <v>#DIV/0!</v>
      </c>
      <c r="H15" s="12" t="e">
        <f t="shared" si="8"/>
        <v>#DIV/0!</v>
      </c>
      <c r="I15" s="12" t="e">
        <f t="shared" si="8"/>
        <v>#DIV/0!</v>
      </c>
      <c r="J15" s="10"/>
      <c r="K15" s="10" t="e">
        <f>SUM(B15:I15)</f>
        <v>#DIV/0!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30.75">
      <c r="A16" s="15" t="s">
        <v>40</v>
      </c>
      <c r="B16" s="12">
        <f>B12-B13</f>
        <v>0</v>
      </c>
      <c r="C16" s="12">
        <f t="shared" ref="C16:I16" si="10">C12-C13</f>
        <v>0</v>
      </c>
      <c r="D16" s="12" t="e">
        <f t="shared" ref="D16:E16" si="11">D12-D13</f>
        <v>#DIV/0!</v>
      </c>
      <c r="E16" s="12" t="e">
        <f t="shared" si="11"/>
        <v>#DIV/0!</v>
      </c>
      <c r="F16" s="12" t="e">
        <f t="shared" si="10"/>
        <v>#DIV/0!</v>
      </c>
      <c r="G16" s="12" t="e">
        <f t="shared" si="10"/>
        <v>#DIV/0!</v>
      </c>
      <c r="H16" s="12" t="e">
        <f t="shared" si="10"/>
        <v>#DIV/0!</v>
      </c>
      <c r="I16" s="12" t="e">
        <f t="shared" si="10"/>
        <v>#DIV/0!</v>
      </c>
      <c r="J16" s="10"/>
      <c r="K16" s="10" t="e">
        <f>SUM(B16:I16)</f>
        <v>#DIV/0!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>
      <c r="A17" s="41" t="s">
        <v>41</v>
      </c>
      <c r="B17" s="42">
        <f>B4/B10</f>
        <v>78.370542635658907</v>
      </c>
      <c r="C17" s="42">
        <f t="shared" ref="C17:I17" si="12">C4/C10</f>
        <v>83.125</v>
      </c>
      <c r="D17" s="42" t="e">
        <f t="shared" ref="D17:E17" si="13">D4/D10</f>
        <v>#DIV/0!</v>
      </c>
      <c r="E17" s="42" t="e">
        <f t="shared" si="13"/>
        <v>#DIV/0!</v>
      </c>
      <c r="F17" s="42" t="e">
        <f t="shared" si="12"/>
        <v>#DIV/0!</v>
      </c>
      <c r="G17" s="42" t="e">
        <f t="shared" si="12"/>
        <v>#DIV/0!</v>
      </c>
      <c r="H17" s="42" t="e">
        <f t="shared" si="12"/>
        <v>#DIV/0!</v>
      </c>
      <c r="I17" s="42" t="e">
        <f t="shared" si="12"/>
        <v>#DIV/0!</v>
      </c>
      <c r="J17" s="10"/>
      <c r="K17" s="10">
        <f>K4/K10</f>
        <v>78.895172413793105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5" customHeight="1">
      <c r="I18" s="57"/>
    </row>
    <row r="19" spans="1:33">
      <c r="A19" s="22" t="s">
        <v>42</v>
      </c>
      <c r="B19" s="22" t="s">
        <v>5</v>
      </c>
      <c r="C19" s="22" t="s">
        <v>50</v>
      </c>
      <c r="D19" s="22" t="s">
        <v>103</v>
      </c>
      <c r="E19" s="22" t="s">
        <v>104</v>
      </c>
      <c r="F19" s="22" t="s">
        <v>127</v>
      </c>
      <c r="G19" s="22" t="s">
        <v>117</v>
      </c>
      <c r="H19" s="22" t="s">
        <v>118</v>
      </c>
      <c r="I19" s="77" t="s">
        <v>119</v>
      </c>
      <c r="K19" s="2"/>
    </row>
    <row r="20" spans="1:33" ht="88.5" customHeight="1">
      <c r="A20" s="23" t="s">
        <v>15</v>
      </c>
      <c r="B20" s="24" t="s">
        <v>16</v>
      </c>
      <c r="C20" s="24" t="s">
        <v>128</v>
      </c>
      <c r="D20" s="24" t="s">
        <v>108</v>
      </c>
      <c r="E20" s="24" t="s">
        <v>108</v>
      </c>
      <c r="F20" s="24" t="s">
        <v>121</v>
      </c>
      <c r="G20" s="24" t="s">
        <v>121</v>
      </c>
      <c r="H20" s="78" t="s">
        <v>82</v>
      </c>
      <c r="I20" s="78" t="s">
        <v>122</v>
      </c>
      <c r="K20" s="5"/>
      <c r="S20" s="19"/>
    </row>
    <row r="21" spans="1:33">
      <c r="A21" s="25" t="s">
        <v>17</v>
      </c>
      <c r="B21" s="33" t="s">
        <v>20</v>
      </c>
      <c r="C21" s="33" t="s">
        <v>57</v>
      </c>
      <c r="D21" s="33"/>
      <c r="E21" s="33"/>
      <c r="F21" s="33" t="s">
        <v>123</v>
      </c>
      <c r="G21" s="33" t="s">
        <v>124</v>
      </c>
      <c r="H21" s="33" t="s">
        <v>125</v>
      </c>
      <c r="I21" s="79" t="s">
        <v>126</v>
      </c>
      <c r="K21" s="7"/>
    </row>
    <row r="22" spans="1:33" s="16" customFormat="1">
      <c r="A22" s="26" t="s">
        <v>43</v>
      </c>
      <c r="B22" s="27">
        <v>151251.5</v>
      </c>
      <c r="C22" s="27">
        <v>8079.12</v>
      </c>
      <c r="D22" s="27">
        <v>18236.05</v>
      </c>
      <c r="E22" s="27">
        <v>11747.83</v>
      </c>
      <c r="F22" s="27">
        <v>4532.42</v>
      </c>
      <c r="G22" s="27">
        <v>8345.0400000000009</v>
      </c>
      <c r="H22" s="74">
        <v>546.64</v>
      </c>
      <c r="I22" s="67">
        <v>1091.5999999999999</v>
      </c>
      <c r="K22" s="16">
        <f>SUM(B22:I22)</f>
        <v>203830.2</v>
      </c>
    </row>
    <row r="23" spans="1:33" s="18" customFormat="1">
      <c r="A23" s="28" t="s">
        <v>44</v>
      </c>
      <c r="B23" s="29">
        <v>0.13719999999999999</v>
      </c>
      <c r="C23" s="29">
        <v>0.189</v>
      </c>
      <c r="D23" s="29">
        <v>0.1011</v>
      </c>
      <c r="E23" s="29">
        <v>9.4E-2</v>
      </c>
      <c r="F23" s="29">
        <v>7.3599999999999999E-2</v>
      </c>
      <c r="G23" s="29">
        <v>0.1172</v>
      </c>
      <c r="H23" s="75">
        <v>0.31730000000000003</v>
      </c>
      <c r="I23" s="68">
        <v>0.254</v>
      </c>
      <c r="K23" s="18">
        <f>AVERAGE(B23:I23)</f>
        <v>0.16042499999999998</v>
      </c>
    </row>
    <row r="24" spans="1:33">
      <c r="A24" s="30" t="s">
        <v>45</v>
      </c>
      <c r="B24" s="31">
        <v>2190</v>
      </c>
      <c r="C24" s="31">
        <v>130</v>
      </c>
      <c r="D24" s="31">
        <v>121</v>
      </c>
      <c r="E24" s="31">
        <v>98</v>
      </c>
      <c r="F24" s="31">
        <v>39</v>
      </c>
      <c r="G24" s="31">
        <v>38</v>
      </c>
      <c r="H24" s="76">
        <v>7</v>
      </c>
      <c r="I24" s="69">
        <v>10</v>
      </c>
      <c r="K24" s="21">
        <f>SUM(B24:I24)</f>
        <v>2633</v>
      </c>
    </row>
    <row r="25" spans="1:33" ht="15" customHeight="1">
      <c r="A25" s="35" t="s">
        <v>46</v>
      </c>
      <c r="B25" s="27"/>
      <c r="C25" s="27"/>
      <c r="D25" s="27"/>
      <c r="E25" s="27"/>
      <c r="F25" s="27"/>
      <c r="G25" s="27"/>
      <c r="H25" s="74"/>
      <c r="I25" s="70"/>
      <c r="K25" s="36">
        <f>SUM(B25:I25)</f>
        <v>0</v>
      </c>
    </row>
    <row r="26" spans="1:33" ht="15" customHeight="1">
      <c r="A26" s="35" t="s">
        <v>41</v>
      </c>
      <c r="B26" s="38">
        <f>B22/B24</f>
        <v>69.064611872146116</v>
      </c>
      <c r="C26" s="38">
        <f>C22/C24</f>
        <v>62.147076923076924</v>
      </c>
      <c r="D26" s="38">
        <f t="shared" ref="D26:I26" si="14">D22/D24</f>
        <v>150.71115702479338</v>
      </c>
      <c r="E26" s="38">
        <f t="shared" si="14"/>
        <v>119.87581632653061</v>
      </c>
      <c r="F26" s="38">
        <f t="shared" si="14"/>
        <v>116.21589743589743</v>
      </c>
      <c r="G26" s="38">
        <f t="shared" si="14"/>
        <v>219.60631578947371</v>
      </c>
      <c r="H26" s="38">
        <f t="shared" si="14"/>
        <v>78.091428571428565</v>
      </c>
      <c r="I26" s="38">
        <f t="shared" si="14"/>
        <v>109.16</v>
      </c>
      <c r="K26" s="37">
        <f>K22/K24</f>
        <v>77.41367261678694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4178-F450-4545-B075-257C0BFF4972}">
  <dimension ref="A1:AF26"/>
  <sheetViews>
    <sheetView zoomScale="75" zoomScaleNormal="75" workbookViewId="0">
      <selection activeCell="D1" sqref="D1:D1048576"/>
    </sheetView>
  </sheetViews>
  <sheetFormatPr defaultRowHeight="15" customHeight="1"/>
  <cols>
    <col min="1" max="1" width="30.7109375" customWidth="1"/>
    <col min="2" max="6" width="20.7109375" customWidth="1"/>
    <col min="7" max="7" width="23" customWidth="1"/>
    <col min="8" max="8" width="20.7109375" customWidth="1"/>
    <col min="9" max="9" width="21.28515625" customWidth="1"/>
    <col min="10" max="10" width="15.85546875" customWidth="1"/>
  </cols>
  <sheetData>
    <row r="1" spans="1:32" s="2" customFormat="1">
      <c r="A1" s="1" t="s">
        <v>61</v>
      </c>
      <c r="B1" s="1" t="s">
        <v>4</v>
      </c>
      <c r="C1" s="1" t="s">
        <v>48</v>
      </c>
      <c r="D1" s="1" t="s">
        <v>49</v>
      </c>
      <c r="E1" s="73" t="s">
        <v>116</v>
      </c>
      <c r="F1" s="73" t="s">
        <v>117</v>
      </c>
      <c r="G1" s="73" t="s">
        <v>118</v>
      </c>
      <c r="H1" s="54" t="s">
        <v>129</v>
      </c>
      <c r="J1" s="2" t="s">
        <v>14</v>
      </c>
    </row>
    <row r="2" spans="1:32" s="5" customFormat="1" ht="85.7" customHeight="1">
      <c r="A2" s="3" t="s">
        <v>15</v>
      </c>
      <c r="B2" s="17" t="s">
        <v>16</v>
      </c>
      <c r="C2" s="17" t="s">
        <v>53</v>
      </c>
      <c r="D2" s="17" t="s">
        <v>54</v>
      </c>
      <c r="E2" s="17" t="s">
        <v>121</v>
      </c>
      <c r="F2" s="17" t="s">
        <v>121</v>
      </c>
      <c r="G2" s="55" t="s">
        <v>82</v>
      </c>
      <c r="H2" s="55" t="s">
        <v>82</v>
      </c>
      <c r="I2" s="4"/>
    </row>
    <row r="3" spans="1:32" s="4" customFormat="1">
      <c r="A3" s="6" t="s">
        <v>17</v>
      </c>
      <c r="B3" s="32" t="s">
        <v>20</v>
      </c>
      <c r="C3" s="32" t="s">
        <v>57</v>
      </c>
      <c r="D3" s="32" t="s">
        <v>57</v>
      </c>
      <c r="E3" s="32" t="s">
        <v>123</v>
      </c>
      <c r="F3" s="72" t="s">
        <v>124</v>
      </c>
      <c r="G3" s="72" t="s">
        <v>125</v>
      </c>
      <c r="H3" s="56" t="s">
        <v>126</v>
      </c>
      <c r="J3" s="7"/>
    </row>
    <row r="4" spans="1:32">
      <c r="A4" s="8" t="s">
        <v>30</v>
      </c>
      <c r="B4" s="9">
        <v>6353.22</v>
      </c>
      <c r="C4" s="9">
        <v>1890.54</v>
      </c>
      <c r="D4" s="9">
        <v>362.31</v>
      </c>
      <c r="E4" s="9"/>
      <c r="F4" s="9"/>
      <c r="G4" s="9"/>
      <c r="H4" s="61"/>
      <c r="I4" s="10"/>
      <c r="J4" s="10">
        <f>SUM(B4:H4)</f>
        <v>8606.07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>
      <c r="A5" s="11" t="s">
        <v>31</v>
      </c>
      <c r="B5" s="12"/>
      <c r="C5" s="12"/>
      <c r="D5" s="12"/>
      <c r="E5" s="12"/>
      <c r="F5" s="12"/>
      <c r="G5" s="9"/>
      <c r="H5" s="62"/>
      <c r="I5" s="10"/>
      <c r="J5" s="10">
        <f>SUM(B5:H5)</f>
        <v>0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>
      <c r="A6" s="11" t="s">
        <v>32</v>
      </c>
      <c r="B6" s="12"/>
      <c r="C6" s="12"/>
      <c r="D6" s="12"/>
      <c r="E6" s="12"/>
      <c r="F6" s="12"/>
      <c r="G6" s="9"/>
      <c r="H6" s="62"/>
      <c r="I6" s="10"/>
      <c r="J6" s="10">
        <f>SUM(B6:H6)</f>
        <v>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>
      <c r="A7" s="11" t="s">
        <v>33</v>
      </c>
      <c r="B7" s="12"/>
      <c r="C7" s="12"/>
      <c r="D7" s="12"/>
      <c r="E7" s="12"/>
      <c r="F7" s="12"/>
      <c r="G7" s="9"/>
      <c r="H7" s="62"/>
      <c r="I7" s="10"/>
      <c r="J7" s="10">
        <f>SUM(B7:H7)</f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>
      <c r="A8" s="11" t="s">
        <v>34</v>
      </c>
      <c r="B8" s="12">
        <f>B4-B5-B6</f>
        <v>6353.22</v>
      </c>
      <c r="C8" s="12">
        <f t="shared" ref="C8:H8" si="0">C4-C5-C6</f>
        <v>1890.54</v>
      </c>
      <c r="D8" s="12">
        <f t="shared" si="0"/>
        <v>362.31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0"/>
      <c r="J8" s="10">
        <f>SUM(B8:H8)</f>
        <v>8606.07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1:32" s="14" customFormat="1" ht="5.45" customHeight="1">
      <c r="A9" s="13"/>
      <c r="B9" s="13"/>
      <c r="C9" s="13"/>
      <c r="D9" s="13"/>
      <c r="E9" s="13"/>
      <c r="F9" s="13"/>
      <c r="G9" s="13"/>
      <c r="H9" s="13"/>
    </row>
    <row r="10" spans="1:32">
      <c r="A10" s="11" t="s">
        <v>35</v>
      </c>
      <c r="B10" s="20">
        <v>77</v>
      </c>
      <c r="C10" s="20">
        <v>29</v>
      </c>
      <c r="D10" s="20">
        <v>4</v>
      </c>
      <c r="E10" s="20"/>
      <c r="F10" s="20"/>
      <c r="G10" s="20"/>
      <c r="H10" s="20"/>
      <c r="J10" s="34">
        <f>SUM(B10:H10)</f>
        <v>110</v>
      </c>
    </row>
    <row r="11" spans="1:32">
      <c r="A11" s="11" t="s">
        <v>36</v>
      </c>
      <c r="B11" s="12">
        <f>B4/B10</f>
        <v>82.509350649350651</v>
      </c>
      <c r="C11" s="12">
        <f t="shared" ref="C11:H11" si="1">C4/C10</f>
        <v>65.191034482758624</v>
      </c>
      <c r="D11" s="12">
        <f t="shared" si="1"/>
        <v>90.577500000000001</v>
      </c>
      <c r="E11" s="12" t="e">
        <f t="shared" si="1"/>
        <v>#DIV/0!</v>
      </c>
      <c r="F11" s="12" t="e">
        <f t="shared" si="1"/>
        <v>#DIV/0!</v>
      </c>
      <c r="G11" s="12" t="e">
        <f t="shared" si="1"/>
        <v>#DIV/0!</v>
      </c>
      <c r="H11" s="12" t="e">
        <f t="shared" si="1"/>
        <v>#DIV/0!</v>
      </c>
      <c r="I11" s="10"/>
      <c r="J11" s="10" t="e">
        <f>AVERAGE(B11:H11)</f>
        <v>#DIV/0!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>
      <c r="A12" s="11" t="s">
        <v>37</v>
      </c>
      <c r="B12" s="12">
        <f>(B4-B5)/B10</f>
        <v>82.509350649350651</v>
      </c>
      <c r="C12" s="12">
        <f t="shared" ref="C12:H12" si="2">(C4-C5)/C10</f>
        <v>65.191034482758624</v>
      </c>
      <c r="D12" s="12">
        <f t="shared" si="2"/>
        <v>90.577500000000001</v>
      </c>
      <c r="E12" s="12" t="e">
        <f t="shared" si="2"/>
        <v>#DIV/0!</v>
      </c>
      <c r="F12" s="12" t="e">
        <f t="shared" si="2"/>
        <v>#DIV/0!</v>
      </c>
      <c r="G12" s="12" t="e">
        <f t="shared" si="2"/>
        <v>#DIV/0!</v>
      </c>
      <c r="H12" s="12" t="e">
        <f t="shared" si="2"/>
        <v>#DIV/0!</v>
      </c>
      <c r="I12" s="10"/>
      <c r="J12" s="10" t="e">
        <f>AVERAGE(B12:H12)</f>
        <v>#DIV/0!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spans="1:32" ht="30.75">
      <c r="A13" s="15" t="s">
        <v>38</v>
      </c>
      <c r="B13" s="12">
        <f>(B4-B5-B6)/B10</f>
        <v>82.509350649350651</v>
      </c>
      <c r="C13" s="12">
        <f t="shared" ref="C13:H13" si="3">(C4-C5-C6)/C10</f>
        <v>65.191034482758624</v>
      </c>
      <c r="D13" s="12">
        <f t="shared" si="3"/>
        <v>90.577500000000001</v>
      </c>
      <c r="E13" s="12" t="e">
        <f t="shared" si="3"/>
        <v>#DIV/0!</v>
      </c>
      <c r="F13" s="12" t="e">
        <f t="shared" si="3"/>
        <v>#DIV/0!</v>
      </c>
      <c r="G13" s="12" t="e">
        <f t="shared" si="3"/>
        <v>#DIV/0!</v>
      </c>
      <c r="H13" s="12" t="e">
        <f t="shared" si="3"/>
        <v>#DIV/0!</v>
      </c>
      <c r="I13" s="10"/>
      <c r="J13" s="10" t="e">
        <f>AVERAGE(B13:H13)</f>
        <v>#DIV/0!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spans="1:32" s="14" customFormat="1" ht="5.45" customHeight="1">
      <c r="A14" s="13"/>
      <c r="B14" s="13"/>
      <c r="C14" s="13"/>
      <c r="D14" s="13"/>
      <c r="E14" s="13"/>
      <c r="F14" s="13"/>
      <c r="G14" s="13"/>
      <c r="H14" s="13"/>
    </row>
    <row r="15" spans="1:32" ht="30.75">
      <c r="A15" s="15" t="s">
        <v>39</v>
      </c>
      <c r="B15" s="12">
        <f>B11-B13</f>
        <v>0</v>
      </c>
      <c r="C15" s="12">
        <f t="shared" ref="C15:H15" si="4">C11-C13</f>
        <v>0</v>
      </c>
      <c r="D15" s="12">
        <f t="shared" si="4"/>
        <v>0</v>
      </c>
      <c r="E15" s="12" t="e">
        <f t="shared" si="4"/>
        <v>#DIV/0!</v>
      </c>
      <c r="F15" s="12" t="e">
        <f t="shared" si="4"/>
        <v>#DIV/0!</v>
      </c>
      <c r="G15" s="12" t="e">
        <f t="shared" si="4"/>
        <v>#DIV/0!</v>
      </c>
      <c r="H15" s="12" t="e">
        <f t="shared" si="4"/>
        <v>#DIV/0!</v>
      </c>
      <c r="I15" s="10"/>
      <c r="J15" s="10" t="e">
        <f>SUM(B15:H15)</f>
        <v>#DIV/0!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spans="1:32" ht="30.75">
      <c r="A16" s="15" t="s">
        <v>40</v>
      </c>
      <c r="B16" s="12">
        <f>B12-B13</f>
        <v>0</v>
      </c>
      <c r="C16" s="12">
        <f t="shared" ref="C16:H16" si="5">C12-C13</f>
        <v>0</v>
      </c>
      <c r="D16" s="12">
        <f t="shared" si="5"/>
        <v>0</v>
      </c>
      <c r="E16" s="12" t="e">
        <f t="shared" si="5"/>
        <v>#DIV/0!</v>
      </c>
      <c r="F16" s="12" t="e">
        <f t="shared" si="5"/>
        <v>#DIV/0!</v>
      </c>
      <c r="G16" s="12" t="e">
        <f t="shared" si="5"/>
        <v>#DIV/0!</v>
      </c>
      <c r="H16" s="12" t="e">
        <f t="shared" si="5"/>
        <v>#DIV/0!</v>
      </c>
      <c r="I16" s="10"/>
      <c r="J16" s="10" t="e">
        <f>SUM(B16:H16)</f>
        <v>#DIV/0!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1:32">
      <c r="A17" s="41" t="s">
        <v>41</v>
      </c>
      <c r="B17" s="42">
        <f>B4/B10</f>
        <v>82.509350649350651</v>
      </c>
      <c r="C17" s="42">
        <f t="shared" ref="C17:H17" si="6">C4/C10</f>
        <v>65.191034482758624</v>
      </c>
      <c r="D17" s="42">
        <f t="shared" si="6"/>
        <v>90.577500000000001</v>
      </c>
      <c r="E17" s="42" t="e">
        <f t="shared" si="6"/>
        <v>#DIV/0!</v>
      </c>
      <c r="F17" s="42" t="e">
        <f t="shared" si="6"/>
        <v>#DIV/0!</v>
      </c>
      <c r="G17" s="42" t="e">
        <f t="shared" si="6"/>
        <v>#DIV/0!</v>
      </c>
      <c r="H17" s="42" t="e">
        <f t="shared" si="6"/>
        <v>#DIV/0!</v>
      </c>
      <c r="I17" s="10"/>
      <c r="J17" s="10">
        <f>J4/J10</f>
        <v>78.236999999999995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spans="1:32" ht="15" customHeight="1">
      <c r="H18" s="57"/>
    </row>
    <row r="19" spans="1:32">
      <c r="A19" s="22" t="s">
        <v>42</v>
      </c>
      <c r="B19" s="22" t="s">
        <v>4</v>
      </c>
      <c r="C19" s="22" t="s">
        <v>48</v>
      </c>
      <c r="D19" s="22" t="s">
        <v>49</v>
      </c>
      <c r="E19" s="22" t="s">
        <v>116</v>
      </c>
      <c r="F19" s="22" t="s">
        <v>117</v>
      </c>
      <c r="G19" s="22" t="s">
        <v>118</v>
      </c>
      <c r="H19" s="77" t="s">
        <v>129</v>
      </c>
      <c r="J19" s="2"/>
    </row>
    <row r="20" spans="1:32" ht="88.5" customHeight="1">
      <c r="A20" s="23" t="s">
        <v>15</v>
      </c>
      <c r="B20" s="24" t="s">
        <v>16</v>
      </c>
      <c r="C20" s="24" t="s">
        <v>53</v>
      </c>
      <c r="D20" s="24" t="s">
        <v>54</v>
      </c>
      <c r="E20" s="24" t="s">
        <v>121</v>
      </c>
      <c r="F20" s="24" t="s">
        <v>121</v>
      </c>
      <c r="G20" s="78" t="s">
        <v>82</v>
      </c>
      <c r="H20" s="78" t="s">
        <v>82</v>
      </c>
      <c r="J20" s="5"/>
      <c r="R20" s="19"/>
    </row>
    <row r="21" spans="1:32">
      <c r="A21" s="25" t="s">
        <v>17</v>
      </c>
      <c r="B21" s="33" t="s">
        <v>20</v>
      </c>
      <c r="C21" s="33" t="s">
        <v>57</v>
      </c>
      <c r="D21" s="33" t="s">
        <v>57</v>
      </c>
      <c r="E21" s="33" t="s">
        <v>123</v>
      </c>
      <c r="F21" s="33" t="s">
        <v>124</v>
      </c>
      <c r="G21" s="33" t="s">
        <v>125</v>
      </c>
      <c r="H21" s="79" t="s">
        <v>126</v>
      </c>
      <c r="J21" s="7"/>
    </row>
    <row r="22" spans="1:32" s="16" customFormat="1">
      <c r="A22" s="26" t="s">
        <v>43</v>
      </c>
      <c r="B22" s="27">
        <v>156710.22</v>
      </c>
      <c r="C22" s="27">
        <v>10991.1</v>
      </c>
      <c r="D22" s="27">
        <v>2634.44</v>
      </c>
      <c r="E22" s="27"/>
      <c r="F22" s="27"/>
      <c r="G22" s="74"/>
      <c r="H22" s="67">
        <v>1436.88</v>
      </c>
      <c r="J22" s="16">
        <f>SUM(B22:H22)</f>
        <v>171772.64</v>
      </c>
    </row>
    <row r="23" spans="1:32" s="18" customFormat="1">
      <c r="A23" s="28" t="s">
        <v>44</v>
      </c>
      <c r="B23" s="29">
        <v>0.13250000000000001</v>
      </c>
      <c r="C23" s="29">
        <v>0.1134</v>
      </c>
      <c r="D23" s="29">
        <v>0.1595</v>
      </c>
      <c r="E23" s="29"/>
      <c r="F23" s="29"/>
      <c r="G23" s="75"/>
      <c r="H23" s="68">
        <v>0.33689999999999998</v>
      </c>
      <c r="J23" s="18">
        <f>AVERAGE(B23:H23)</f>
        <v>0.18557499999999999</v>
      </c>
    </row>
    <row r="24" spans="1:32">
      <c r="A24" s="30" t="s">
        <v>45</v>
      </c>
      <c r="B24" s="31">
        <v>2287</v>
      </c>
      <c r="C24" s="31">
        <v>140</v>
      </c>
      <c r="D24" s="31">
        <v>21</v>
      </c>
      <c r="E24" s="31"/>
      <c r="F24" s="31"/>
      <c r="G24" s="76"/>
      <c r="H24" s="69">
        <v>16</v>
      </c>
      <c r="J24" s="21">
        <f>SUM(B24:H24)</f>
        <v>2464</v>
      </c>
    </row>
    <row r="25" spans="1:32" ht="15" customHeight="1">
      <c r="A25" s="35" t="s">
        <v>46</v>
      </c>
      <c r="B25" s="27">
        <v>16006.96</v>
      </c>
      <c r="C25" s="27">
        <v>1240</v>
      </c>
      <c r="D25" s="27">
        <v>92</v>
      </c>
      <c r="E25" s="27"/>
      <c r="F25" s="27"/>
      <c r="G25" s="74"/>
      <c r="H25" s="70">
        <v>80</v>
      </c>
      <c r="J25" s="36">
        <f>SUM(B25:H25)</f>
        <v>17418.96</v>
      </c>
    </row>
    <row r="26" spans="1:32" ht="15" customHeight="1">
      <c r="A26" s="35" t="s">
        <v>41</v>
      </c>
      <c r="B26" s="38">
        <f t="shared" ref="B26:H26" si="7">B22/B24</f>
        <v>68.522177525142112</v>
      </c>
      <c r="C26" s="38">
        <f t="shared" si="7"/>
        <v>78.507857142857148</v>
      </c>
      <c r="D26" s="38">
        <f t="shared" si="7"/>
        <v>125.44952380952381</v>
      </c>
      <c r="E26" s="38" t="e">
        <f t="shared" si="7"/>
        <v>#DIV/0!</v>
      </c>
      <c r="F26" s="38" t="e">
        <f t="shared" si="7"/>
        <v>#DIV/0!</v>
      </c>
      <c r="G26" s="38" t="e">
        <f t="shared" si="7"/>
        <v>#DIV/0!</v>
      </c>
      <c r="H26" s="38">
        <f t="shared" si="7"/>
        <v>89.805000000000007</v>
      </c>
      <c r="J26" s="37">
        <f>J22/J24</f>
        <v>69.712922077922087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1EE1-E598-4F17-A2B2-7416B08C96F9}">
  <dimension ref="A1:AC26"/>
  <sheetViews>
    <sheetView zoomScale="75" zoomScaleNormal="75" workbookViewId="0">
      <selection activeCell="F27" sqref="F27"/>
    </sheetView>
  </sheetViews>
  <sheetFormatPr defaultRowHeight="15" customHeight="1"/>
  <cols>
    <col min="1" max="1" width="30.7109375" customWidth="1"/>
    <col min="2" max="5" width="20.7109375" customWidth="1"/>
    <col min="6" max="6" width="21.28515625" customWidth="1"/>
    <col min="7" max="7" width="15.85546875" customWidth="1"/>
  </cols>
  <sheetData>
    <row r="1" spans="1:29" s="2" customFormat="1">
      <c r="A1" s="1" t="s">
        <v>1</v>
      </c>
      <c r="B1" s="1" t="s">
        <v>3</v>
      </c>
      <c r="C1" s="1" t="s">
        <v>130</v>
      </c>
      <c r="D1" s="73" t="s">
        <v>131</v>
      </c>
      <c r="E1" s="54" t="s">
        <v>132</v>
      </c>
      <c r="G1" s="2" t="s">
        <v>14</v>
      </c>
    </row>
    <row r="2" spans="1:29" s="5" customFormat="1" ht="85.7" customHeight="1">
      <c r="A2" s="3" t="s">
        <v>15</v>
      </c>
      <c r="B2" s="17" t="s">
        <v>16</v>
      </c>
      <c r="C2" s="17" t="s">
        <v>121</v>
      </c>
      <c r="D2" s="17" t="s">
        <v>121</v>
      </c>
      <c r="E2" s="55" t="s">
        <v>97</v>
      </c>
      <c r="F2" s="4"/>
    </row>
    <row r="3" spans="1:29" s="4" customFormat="1">
      <c r="A3" s="6" t="s">
        <v>17</v>
      </c>
      <c r="B3" s="32" t="s">
        <v>19</v>
      </c>
      <c r="C3" s="32" t="s">
        <v>133</v>
      </c>
      <c r="D3" s="72" t="s">
        <v>134</v>
      </c>
      <c r="E3" s="56" t="s">
        <v>135</v>
      </c>
      <c r="G3" s="7"/>
    </row>
    <row r="4" spans="1:29">
      <c r="A4" s="8" t="s">
        <v>30</v>
      </c>
      <c r="B4" s="9">
        <v>6505.91</v>
      </c>
      <c r="C4" s="9">
        <v>169.94</v>
      </c>
      <c r="D4" s="9">
        <v>0</v>
      </c>
      <c r="E4" s="61">
        <v>202.14</v>
      </c>
      <c r="F4" s="10"/>
      <c r="G4" s="10">
        <f>SUM(B4:E4)</f>
        <v>6877.99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>
      <c r="A5" s="11" t="s">
        <v>31</v>
      </c>
      <c r="B5" s="12"/>
      <c r="C5" s="12"/>
      <c r="D5" s="12"/>
      <c r="E5" s="62" t="s">
        <v>136</v>
      </c>
      <c r="F5" s="10"/>
      <c r="G5" s="10">
        <f>SUM(B5:E5)</f>
        <v>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>
      <c r="A6" s="11" t="s">
        <v>32</v>
      </c>
      <c r="B6" s="12"/>
      <c r="C6" s="12"/>
      <c r="D6" s="12"/>
      <c r="E6" s="62" t="s">
        <v>136</v>
      </c>
      <c r="F6" s="10"/>
      <c r="G6" s="10">
        <f>SUM(B6:E6)</f>
        <v>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>
      <c r="A7" s="11" t="s">
        <v>33</v>
      </c>
      <c r="B7" s="12"/>
      <c r="C7" s="12">
        <v>30</v>
      </c>
      <c r="D7" s="12"/>
      <c r="E7" s="62" t="s">
        <v>136</v>
      </c>
      <c r="F7" s="10"/>
      <c r="G7" s="10">
        <f>SUM(B7:E7)</f>
        <v>30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>
      <c r="A8" s="11" t="s">
        <v>34</v>
      </c>
      <c r="B8" s="12">
        <f>B4-B5-B6</f>
        <v>6505.91</v>
      </c>
      <c r="C8" s="12">
        <f>C4-C5-C6</f>
        <v>169.94</v>
      </c>
      <c r="D8" s="12">
        <f>D4-D5-D6</f>
        <v>0</v>
      </c>
      <c r="E8" s="61">
        <v>202.14</v>
      </c>
      <c r="F8" s="10"/>
      <c r="G8" s="10">
        <f>SUM(B8:E8)</f>
        <v>6877.99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s="14" customFormat="1" ht="5.45" customHeight="1">
      <c r="A9" s="13"/>
      <c r="B9" s="13"/>
      <c r="C9" s="13"/>
      <c r="D9" s="13">
        <v>0</v>
      </c>
      <c r="E9" s="63" t="s">
        <v>136</v>
      </c>
    </row>
    <row r="10" spans="1:29">
      <c r="A10" s="11" t="s">
        <v>35</v>
      </c>
      <c r="B10" s="20">
        <v>86</v>
      </c>
      <c r="C10" s="20">
        <v>2</v>
      </c>
      <c r="D10" s="20">
        <v>0</v>
      </c>
      <c r="E10" s="62">
        <v>1</v>
      </c>
      <c r="G10" s="34">
        <f>SUM(B10:E10)</f>
        <v>89</v>
      </c>
    </row>
    <row r="11" spans="1:29">
      <c r="A11" s="11" t="s">
        <v>36</v>
      </c>
      <c r="B11" s="12">
        <f>B4/B10</f>
        <v>75.650116279069763</v>
      </c>
      <c r="C11" s="12">
        <f>C4/C10</f>
        <v>84.97</v>
      </c>
      <c r="D11" s="12"/>
      <c r="E11" s="61">
        <v>202.14</v>
      </c>
      <c r="F11" s="10"/>
      <c r="G11" s="10">
        <f>AVERAGE(B11:E11)</f>
        <v>120.92003875968992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>
      <c r="A12" s="11" t="s">
        <v>37</v>
      </c>
      <c r="B12" s="12">
        <f>(B4-B5)/B10</f>
        <v>75.650116279069763</v>
      </c>
      <c r="C12" s="12">
        <f>(C4-C5)/C10</f>
        <v>84.97</v>
      </c>
      <c r="D12" s="12"/>
      <c r="E12" s="61">
        <v>202.14</v>
      </c>
      <c r="F12" s="10"/>
      <c r="G12" s="10">
        <f>AVERAGE(B12:E12)</f>
        <v>120.92003875968992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ht="30.75">
      <c r="A13" s="15" t="s">
        <v>38</v>
      </c>
      <c r="B13" s="12">
        <f>(B4-B5-B6)/B10</f>
        <v>75.650116279069763</v>
      </c>
      <c r="C13" s="12">
        <f>(C4-C5-C6)/C10</f>
        <v>84.97</v>
      </c>
      <c r="D13" s="12"/>
      <c r="E13" s="61">
        <v>202.14</v>
      </c>
      <c r="F13" s="10"/>
      <c r="G13" s="10">
        <f>AVERAGE(B13:E13)</f>
        <v>120.92003875968992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s="14" customFormat="1" ht="5.45" customHeight="1">
      <c r="A14" s="13"/>
      <c r="B14" s="13"/>
      <c r="C14" s="13"/>
      <c r="D14" s="13"/>
      <c r="E14" s="63" t="s">
        <v>136</v>
      </c>
    </row>
    <row r="15" spans="1:29" ht="30.75">
      <c r="A15" s="15" t="s">
        <v>39</v>
      </c>
      <c r="B15" s="12">
        <f>B11-B13</f>
        <v>0</v>
      </c>
      <c r="C15" s="12">
        <f>C11-C13</f>
        <v>0</v>
      </c>
      <c r="D15" s="12">
        <f>D11-D13</f>
        <v>0</v>
      </c>
      <c r="E15" s="64">
        <v>0</v>
      </c>
      <c r="F15" s="10"/>
      <c r="G15" s="10">
        <f>SUM(B15:E15)</f>
        <v>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ht="30.75">
      <c r="A16" s="15" t="s">
        <v>40</v>
      </c>
      <c r="B16" s="12">
        <f>B12-B13</f>
        <v>0</v>
      </c>
      <c r="C16" s="12">
        <f>C12-C13</f>
        <v>0</v>
      </c>
      <c r="D16" s="12">
        <f>D12-D13</f>
        <v>0</v>
      </c>
      <c r="E16" s="65">
        <v>0</v>
      </c>
      <c r="F16" s="10"/>
      <c r="G16" s="10">
        <f>SUM(B16:E16)</f>
        <v>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>
      <c r="A17" s="41" t="s">
        <v>41</v>
      </c>
      <c r="B17" s="42">
        <f>B4/B10</f>
        <v>75.650116279069763</v>
      </c>
      <c r="C17" s="42">
        <f t="shared" ref="C17" si="0">C4/C10</f>
        <v>84.97</v>
      </c>
      <c r="D17" s="42"/>
      <c r="E17" s="66">
        <v>202.14</v>
      </c>
      <c r="F17" s="10"/>
      <c r="G17" s="10">
        <f>G4/G10</f>
        <v>77.280786516853937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ht="15" customHeight="1">
      <c r="E18" s="57"/>
    </row>
    <row r="19" spans="1:29">
      <c r="A19" s="22" t="s">
        <v>42</v>
      </c>
      <c r="B19" s="22" t="s">
        <v>3</v>
      </c>
      <c r="C19" s="22" t="s">
        <v>130</v>
      </c>
      <c r="D19" s="22" t="s">
        <v>131</v>
      </c>
      <c r="E19" s="58" t="s">
        <v>132</v>
      </c>
      <c r="G19" s="2"/>
    </row>
    <row r="20" spans="1:29" ht="88.5" customHeight="1">
      <c r="A20" s="23" t="s">
        <v>15</v>
      </c>
      <c r="B20" s="24" t="s">
        <v>16</v>
      </c>
      <c r="C20" s="24" t="s">
        <v>121</v>
      </c>
      <c r="D20" s="24" t="s">
        <v>121</v>
      </c>
      <c r="E20" s="59" t="s">
        <v>97</v>
      </c>
      <c r="G20" s="5"/>
      <c r="O20" s="19"/>
    </row>
    <row r="21" spans="1:29">
      <c r="A21" s="25" t="s">
        <v>17</v>
      </c>
      <c r="B21" s="33" t="s">
        <v>19</v>
      </c>
      <c r="C21" s="33" t="s">
        <v>133</v>
      </c>
      <c r="D21" s="33" t="s">
        <v>134</v>
      </c>
      <c r="E21" s="60" t="s">
        <v>135</v>
      </c>
      <c r="G21" s="7"/>
    </row>
    <row r="22" spans="1:29" s="16" customFormat="1">
      <c r="A22" s="26" t="s">
        <v>43</v>
      </c>
      <c r="B22" s="27">
        <v>133420.87</v>
      </c>
      <c r="C22" s="27">
        <v>34062.050000000003</v>
      </c>
      <c r="D22" s="27">
        <v>11508.04</v>
      </c>
      <c r="E22" s="67">
        <v>2965.79</v>
      </c>
      <c r="G22" s="16">
        <f>SUM(B22:E22)</f>
        <v>181956.75</v>
      </c>
    </row>
    <row r="23" spans="1:29" s="18" customFormat="1">
      <c r="A23" s="28" t="s">
        <v>44</v>
      </c>
      <c r="B23" s="29">
        <v>0.12529999999999999</v>
      </c>
      <c r="C23" s="29">
        <v>0.1004</v>
      </c>
      <c r="D23" s="29">
        <v>0.1129</v>
      </c>
      <c r="E23" s="68">
        <v>0.14050000000000001</v>
      </c>
      <c r="G23" s="18">
        <f>AVERAGE(B23:E23)</f>
        <v>0.11977500000000001</v>
      </c>
    </row>
    <row r="24" spans="1:29">
      <c r="A24" s="30" t="s">
        <v>45</v>
      </c>
      <c r="B24" s="31">
        <v>1834</v>
      </c>
      <c r="C24" s="31">
        <v>301</v>
      </c>
      <c r="D24" s="31">
        <v>115</v>
      </c>
      <c r="E24" s="69">
        <v>47</v>
      </c>
      <c r="G24" s="21">
        <f>SUM(B24:E24)</f>
        <v>2297</v>
      </c>
    </row>
    <row r="25" spans="1:29" ht="15" customHeight="1">
      <c r="A25" s="35" t="s">
        <v>46</v>
      </c>
      <c r="B25" s="27">
        <v>12830.96</v>
      </c>
      <c r="C25" s="27">
        <v>4515</v>
      </c>
      <c r="D25" s="27">
        <v>1725</v>
      </c>
      <c r="E25" s="70">
        <v>235</v>
      </c>
      <c r="G25" s="36">
        <f>SUM(B25:E25)</f>
        <v>19305.96</v>
      </c>
    </row>
    <row r="26" spans="1:29" ht="15" customHeight="1">
      <c r="A26" s="35" t="s">
        <v>41</v>
      </c>
      <c r="B26" s="38">
        <f t="shared" ref="B26:E26" si="1">B22/B24</f>
        <v>72.74856597600872</v>
      </c>
      <c r="C26" s="38">
        <f t="shared" ref="C26:D26" si="2">C22/C24</f>
        <v>113.16295681063124</v>
      </c>
      <c r="D26" s="38">
        <f t="shared" si="2"/>
        <v>100.06991304347827</v>
      </c>
      <c r="E26" s="71">
        <v>63.1</v>
      </c>
      <c r="G26" s="37">
        <f>G22/G24</f>
        <v>79.214954288202009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B21E-0E1A-4CAB-B757-92EAE4F43614}">
  <dimension ref="A1:AA26"/>
  <sheetViews>
    <sheetView topLeftCell="A12" zoomScale="75" zoomScaleNormal="75" workbookViewId="0">
      <selection activeCell="B17" sqref="B17"/>
    </sheetView>
  </sheetViews>
  <sheetFormatPr defaultRowHeight="15" customHeight="1"/>
  <cols>
    <col min="1" max="1" width="30.7109375" customWidth="1"/>
    <col min="2" max="3" width="20.7109375" customWidth="1"/>
    <col min="4" max="4" width="21.28515625" customWidth="1"/>
    <col min="5" max="5" width="15.85546875" customWidth="1"/>
  </cols>
  <sheetData>
    <row r="1" spans="1:27" s="2" customFormat="1">
      <c r="A1" s="1" t="s">
        <v>1</v>
      </c>
      <c r="B1" s="1" t="s">
        <v>2</v>
      </c>
      <c r="C1" s="1" t="s">
        <v>130</v>
      </c>
      <c r="E1" s="2" t="s">
        <v>14</v>
      </c>
    </row>
    <row r="2" spans="1:27" s="5" customFormat="1" ht="85.7" customHeight="1">
      <c r="A2" s="3" t="s">
        <v>15</v>
      </c>
      <c r="B2" s="17" t="s">
        <v>16</v>
      </c>
      <c r="C2" s="17" t="s">
        <v>121</v>
      </c>
      <c r="D2" s="4"/>
    </row>
    <row r="3" spans="1:27" s="4" customFormat="1">
      <c r="A3" s="6" t="s">
        <v>17</v>
      </c>
      <c r="B3" s="32" t="s">
        <v>18</v>
      </c>
      <c r="C3" s="32" t="s">
        <v>137</v>
      </c>
      <c r="E3" s="7"/>
    </row>
    <row r="4" spans="1:27">
      <c r="A4" s="8" t="s">
        <v>30</v>
      </c>
      <c r="B4" s="9">
        <v>10914.8</v>
      </c>
      <c r="C4" s="9">
        <v>3622.33</v>
      </c>
      <c r="D4" s="10"/>
      <c r="E4" s="10">
        <f>SUM(B4:C4)</f>
        <v>14537.13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>
      <c r="A5" s="11" t="s">
        <v>31</v>
      </c>
      <c r="B5" s="12"/>
      <c r="C5" s="12"/>
      <c r="D5" s="10"/>
      <c r="E5" s="10">
        <f>SUM(B5:C5)</f>
        <v>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>
      <c r="A6" s="11" t="s">
        <v>32</v>
      </c>
      <c r="B6" s="12"/>
      <c r="C6" s="12"/>
      <c r="D6" s="10"/>
      <c r="E6" s="10">
        <f>SUM(B6:C6)</f>
        <v>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>
      <c r="A7" s="11" t="s">
        <v>33</v>
      </c>
      <c r="B7" s="12"/>
      <c r="C7" s="12"/>
      <c r="D7" s="10"/>
      <c r="E7" s="10">
        <f>SUM(B7:C7)</f>
        <v>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>
      <c r="A8" s="11" t="s">
        <v>34</v>
      </c>
      <c r="B8" s="12">
        <f>B4-B5-B6</f>
        <v>10914.8</v>
      </c>
      <c r="C8" s="12">
        <f>C4-C5-C6</f>
        <v>3622.33</v>
      </c>
      <c r="D8" s="10"/>
      <c r="E8" s="10" t="e">
        <f>SUM(#REF!)</f>
        <v>#REF!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s="14" customFormat="1" ht="5.45" customHeight="1">
      <c r="A9" s="13"/>
      <c r="B9" s="13"/>
      <c r="C9" s="13"/>
    </row>
    <row r="10" spans="1:27">
      <c r="A10" s="11" t="s">
        <v>35</v>
      </c>
      <c r="B10" s="20">
        <v>134</v>
      </c>
      <c r="C10" s="20">
        <v>33</v>
      </c>
      <c r="E10" s="34" t="e">
        <f>SUM(#REF!)</f>
        <v>#REF!</v>
      </c>
    </row>
    <row r="11" spans="1:27">
      <c r="A11" s="11" t="s">
        <v>36</v>
      </c>
      <c r="B11" s="12">
        <f>B4/B10</f>
        <v>81.453731343283579</v>
      </c>
      <c r="C11" s="12">
        <f>C4/C10</f>
        <v>109.76757575757576</v>
      </c>
      <c r="D11" s="10"/>
      <c r="E11" s="10" t="e">
        <f>AVERAGE(#REF!)</f>
        <v>#REF!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>
      <c r="A12" s="11" t="s">
        <v>37</v>
      </c>
      <c r="B12" s="12">
        <f>(B4-B5)/B10</f>
        <v>81.453731343283579</v>
      </c>
      <c r="C12" s="12">
        <f>(C4-C5)/C10</f>
        <v>109.76757575757576</v>
      </c>
      <c r="D12" s="10"/>
      <c r="E12" s="10" t="e">
        <f>AVERAGE(#REF!)</f>
        <v>#REF!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30.75">
      <c r="A13" s="15" t="s">
        <v>38</v>
      </c>
      <c r="B13" s="12">
        <f>(B4-B5-B6)/B10</f>
        <v>81.453731343283579</v>
      </c>
      <c r="C13" s="12">
        <f>(C4-C5-C6)/C10</f>
        <v>109.76757575757576</v>
      </c>
      <c r="D13" s="10"/>
      <c r="E13" s="10" t="e">
        <f>AVERAGE(#REF!)</f>
        <v>#REF!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s="14" customFormat="1" ht="5.45" customHeight="1">
      <c r="A14" s="13"/>
      <c r="B14" s="13"/>
      <c r="C14" s="13"/>
    </row>
    <row r="15" spans="1:27" ht="30.75">
      <c r="A15" s="15" t="s">
        <v>39</v>
      </c>
      <c r="B15" s="12">
        <f>B11-B13</f>
        <v>0</v>
      </c>
      <c r="C15" s="12">
        <f>C11-C13</f>
        <v>0</v>
      </c>
      <c r="D15" s="10"/>
      <c r="E15" s="10" t="e">
        <f>SUM(#REF!)</f>
        <v>#REF!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30.75">
      <c r="A16" s="15" t="s">
        <v>40</v>
      </c>
      <c r="B16" s="12">
        <f>B12-B13</f>
        <v>0</v>
      </c>
      <c r="C16" s="12">
        <f>C12-C13</f>
        <v>0</v>
      </c>
      <c r="D16" s="10"/>
      <c r="E16" s="10" t="e">
        <f>SUM(#REF!)</f>
        <v>#REF!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>
      <c r="A17" s="41" t="s">
        <v>41</v>
      </c>
      <c r="B17" s="42">
        <f>B4/B10</f>
        <v>81.453731343283579</v>
      </c>
      <c r="C17" s="42">
        <f t="shared" ref="C17" si="0">C4/C10</f>
        <v>109.76757575757576</v>
      </c>
      <c r="D17" s="10"/>
      <c r="E17" s="10" t="e">
        <f>E4/E10</f>
        <v>#REF!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9" spans="1:27">
      <c r="A19" s="22" t="s">
        <v>42</v>
      </c>
      <c r="B19" s="22" t="s">
        <v>2</v>
      </c>
      <c r="C19" s="22" t="s">
        <v>130</v>
      </c>
      <c r="E19" s="2"/>
    </row>
    <row r="20" spans="1:27" ht="88.5" customHeight="1">
      <c r="A20" s="23" t="s">
        <v>15</v>
      </c>
      <c r="B20" s="24" t="s">
        <v>16</v>
      </c>
      <c r="C20" s="24" t="s">
        <v>121</v>
      </c>
      <c r="E20" s="5"/>
      <c r="M20" s="19"/>
    </row>
    <row r="21" spans="1:27">
      <c r="A21" s="25" t="s">
        <v>17</v>
      </c>
      <c r="B21" s="33" t="s">
        <v>18</v>
      </c>
      <c r="C21" s="33" t="s">
        <v>137</v>
      </c>
      <c r="E21" s="7"/>
    </row>
    <row r="22" spans="1:27" s="16" customFormat="1">
      <c r="A22" s="26" t="s">
        <v>43</v>
      </c>
      <c r="B22" s="27">
        <v>121247.91</v>
      </c>
      <c r="C22" s="27">
        <v>38355.800000000003</v>
      </c>
      <c r="E22" s="16">
        <f>SUM(B22:C22)</f>
        <v>159603.71000000002</v>
      </c>
    </row>
    <row r="23" spans="1:27" s="18" customFormat="1">
      <c r="A23" s="28" t="s">
        <v>44</v>
      </c>
      <c r="B23" s="29">
        <v>0.13200000000000001</v>
      </c>
      <c r="C23" s="29">
        <v>0.1018</v>
      </c>
      <c r="E23" s="18">
        <f>AVERAGE(B23:C23)</f>
        <v>0.1169</v>
      </c>
    </row>
    <row r="24" spans="1:27">
      <c r="A24" s="30" t="s">
        <v>45</v>
      </c>
      <c r="B24" s="31">
        <v>1790</v>
      </c>
      <c r="C24" s="31">
        <v>342</v>
      </c>
      <c r="E24" s="21">
        <f>SUM(B24:C24)</f>
        <v>2132</v>
      </c>
    </row>
    <row r="25" spans="1:27" ht="15" customHeight="1">
      <c r="A25" s="35" t="s">
        <v>46</v>
      </c>
      <c r="B25" s="27">
        <v>12528.99</v>
      </c>
      <c r="C25" s="27">
        <v>5130</v>
      </c>
      <c r="E25" s="36">
        <f>SUM(B25:C25)</f>
        <v>17658.989999999998</v>
      </c>
    </row>
    <row r="26" spans="1:27" ht="15" customHeight="1">
      <c r="A26" s="35" t="s">
        <v>41</v>
      </c>
      <c r="B26" s="38">
        <f t="shared" ref="B26:C26" si="1">B22/B24</f>
        <v>67.736262569832405</v>
      </c>
      <c r="C26" s="38">
        <f t="shared" si="1"/>
        <v>112.15146198830411</v>
      </c>
      <c r="E26" s="37">
        <f>E22/E24</f>
        <v>74.861027204502818</v>
      </c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_ip_UnifiedCompliancePolicyUIAction xmlns="http://schemas.microsoft.com/sharepoint/v3" xsi:nil="true"/>
    <_ip_UnifiedCompliancePolicyProperties xmlns="http://schemas.microsoft.com/sharepoint/v3" xsi:nil="true"/>
    <SharedWithUsers xmlns="ff101762-23d1-4ba0-9cbe-7a45c59d2c20">
      <UserInfo>
        <DisplayName>Bennett, Faith</DisplayName>
        <AccountId>2985</AccountId>
        <AccountType/>
      </UserInfo>
      <UserInfo>
        <DisplayName>Kersey, Courtney</DisplayName>
        <AccountId>510</AccountId>
        <AccountType/>
      </UserInfo>
      <UserInfo>
        <DisplayName>Hanzelko, Tim</DisplayName>
        <AccountId>5613</AccountId>
        <AccountType/>
      </UserInfo>
      <UserInfo>
        <DisplayName>Rohlfing, Chelsea</DisplayName>
        <AccountId>70</AccountId>
        <AccountType/>
      </UserInfo>
      <UserInfo>
        <DisplayName>Kelly, Sean</DisplayName>
        <AccountId>2272</AccountId>
        <AccountType/>
      </UserInfo>
      <UserInfo>
        <DisplayName>Lytle, Mary</DisplayName>
        <AccountId>7704</AccountId>
        <AccountType/>
      </UserInfo>
      <UserInfo>
        <DisplayName>Bowes, Lisa</DisplayName>
        <AccountId>30</AccountId>
        <AccountType/>
      </UserInfo>
      <UserInfo>
        <DisplayName>Prowse, Amanda</DisplayName>
        <AccountId>15379</AccountId>
        <AccountType/>
      </UserInfo>
    </SharedWithUsers>
    <lcf76f155ced4ddcb4097134ff3c332f xmlns="e977b2b5-3911-4478-b2ae-72d10252f2ad">
      <Terms xmlns="http://schemas.microsoft.com/office/infopath/2007/PartnerControls"/>
    </lcf76f155ced4ddcb4097134ff3c332f>
    <TaxCatchAll xmlns="aec28e0a-ab32-4f87-a753-0b9a60fcea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36FCFC3800084F925CBDE9DDE5AFD9" ma:contentTypeVersion="20" ma:contentTypeDescription="Create a new document." ma:contentTypeScope="" ma:versionID="9eb45a639f679df329e0aa35bc3d1390">
  <xsd:schema xmlns:xsd="http://www.w3.org/2001/XMLSchema" xmlns:xs="http://www.w3.org/2001/XMLSchema" xmlns:p="http://schemas.microsoft.com/office/2006/metadata/properties" xmlns:ns1="http://schemas.microsoft.com/sharepoint/v3" xmlns:ns2="ff101762-23d1-4ba0-9cbe-7a45c59d2c20" xmlns:ns3="aec28e0a-ab32-4f87-a753-0b9a60fcea8a" xmlns:ns4="e977b2b5-3911-4478-b2ae-72d10252f2ad" targetNamespace="http://schemas.microsoft.com/office/2006/metadata/properties" ma:root="true" ma:fieldsID="edca9a41ac043bc20b80cbcdb8ccb3ae" ns1:_="" ns2:_="" ns3:_="" ns4:_="">
    <xsd:import namespace="http://schemas.microsoft.com/sharepoint/v3"/>
    <xsd:import namespace="ff101762-23d1-4ba0-9cbe-7a45c59d2c20"/>
    <xsd:import namespace="aec28e0a-ab32-4f87-a753-0b9a60fcea8a"/>
    <xsd:import namespace="e977b2b5-3911-4478-b2ae-72d10252f2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1:LikesCount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1:_ip_UnifiedCompliancePolicyProperties" minOccurs="0"/>
                <xsd:element ref="ns1:_ip_UnifiedCompliancePolicyUIAction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  <xsd:element ref="ns4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11" nillable="true" ma:displayName="Number of Likes" ma:internalName="LikesCount">
      <xsd:simpleType>
        <xsd:restriction base="dms:Unknown"/>
      </xsd:simpleType>
    </xsd:element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01762-23d1-4ba0-9cbe-7a45c59d2c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28e0a-ab32-4f87-a753-0b9a60fcea8a" elementFormDefault="qualified">
    <xsd:import namespace="http://schemas.microsoft.com/office/2006/documentManagement/types"/>
    <xsd:import namespace="http://schemas.microsoft.com/office/infopath/2007/PartnerControls"/>
    <xsd:element name="LastSharedByUser" ma:index="12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3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31" nillable="true" ma:displayName="Taxonomy Catch All Column" ma:hidden="true" ma:list="{91c5a65a-e816-45e1-ae98-53b72d7d2d0a}" ma:internalName="TaxCatchAll" ma:showField="CatchAllData" ma:web="aec28e0a-ab32-4f87-a753-0b9a60fcea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77b2b5-3911-4478-b2ae-72d10252f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6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cd2f6036-0c38-4e64-9a14-852f306418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8A1822-66F5-4052-81F1-71276EF18B5C}"/>
</file>

<file path=customXml/itemProps2.xml><?xml version="1.0" encoding="utf-8"?>
<ds:datastoreItem xmlns:ds="http://schemas.openxmlformats.org/officeDocument/2006/customXml" ds:itemID="{F7BAF255-F5AF-496B-9251-5A4209D9EAA1}"/>
</file>

<file path=customXml/itemProps3.xml><?xml version="1.0" encoding="utf-8"?>
<ds:datastoreItem xmlns:ds="http://schemas.openxmlformats.org/officeDocument/2006/customXml" ds:itemID="{D352E424-7093-4637-84EC-DFB22A7ABF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Hanzelko, Tim</dc:creator>
  <cp:keywords/>
  <dc:description/>
  <cp:lastModifiedBy>Hanzelko, Tim</cp:lastModifiedBy>
  <cp:revision/>
  <dcterms:created xsi:type="dcterms:W3CDTF">2021-08-06T14:22:02Z</dcterms:created>
  <dcterms:modified xsi:type="dcterms:W3CDTF">2026-02-03T15:38:52Z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0x010100B936FCFC3800084F925CBDE9DDE5AFD9</vt:lpwstr>
  </property>
  <property fmtid="{D5CDD505-2E9C-101B-9397-08002B2CF9AE}" pid="3" name="MediaServiceImageTags">
    <vt:lpwstr/>
  </property>
</Properties>
</file>