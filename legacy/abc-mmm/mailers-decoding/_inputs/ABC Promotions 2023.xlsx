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bcfws.sharepoint.com/marketing/Shared Team Documents/Reporting/Promotions/ABC Promotions/"/>
    </mc:Choice>
  </mc:AlternateContent>
  <xr:revisionPtr revIDLastSave="486" documentId="8_{09B540A7-6513-4D20-9F00-C4D42DB4E9AB}" xr6:coauthVersionLast="47" xr6:coauthVersionMax="47" xr10:uidLastSave="{5CFBE88E-F5A6-4D68-938A-D5FA136DD4A8}"/>
  <bookViews>
    <workbookView xWindow="600" yWindow="345" windowWidth="28395" windowHeight="15255" xr2:uid="{7B7B8701-3173-42C6-8A70-14DB2644476F}"/>
  </bookViews>
  <sheets>
    <sheet name="Summary" sheetId="13" r:id="rId1"/>
    <sheet name="December 2023" sheetId="1" r:id="rId2"/>
    <sheet name="November 2023" sheetId="2" r:id="rId3"/>
    <sheet name="October 2023" sheetId="3" r:id="rId4"/>
    <sheet name="September 2023" sheetId="4" r:id="rId5"/>
    <sheet name="August 2023" sheetId="5" r:id="rId6"/>
    <sheet name="July 2023" sheetId="6" r:id="rId7"/>
    <sheet name="June 2023" sheetId="7" r:id="rId8"/>
    <sheet name="May 2023" sheetId="8" r:id="rId9"/>
    <sheet name="April 2023" sheetId="9" r:id="rId10"/>
    <sheet name="March 2023" sheetId="10" r:id="rId11"/>
    <sheet name="Feb 2023" sheetId="11" r:id="rId12"/>
    <sheet name="Jan 2023" sheetId="12" r:id="rId13"/>
  </sheets>
  <calcPr calcId="191028"/>
  <pivotCaches>
    <pivotCache cacheId="20" r:id="rId14"/>
    <pivotCache cacheId="18" r:id="rId15"/>
    <pivotCache cacheId="1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13" l="1"/>
  <c r="AA46" i="13" s="1"/>
  <c r="O5" i="13"/>
  <c r="O18" i="13" s="1"/>
  <c r="J82" i="13"/>
  <c r="J81" i="13"/>
  <c r="J80" i="13"/>
  <c r="J79" i="13"/>
  <c r="J73" i="13"/>
  <c r="J72" i="13"/>
  <c r="J69" i="13"/>
  <c r="J70" i="13"/>
  <c r="J68" i="13"/>
  <c r="J67" i="13"/>
  <c r="J62" i="13"/>
  <c r="J63" i="13"/>
  <c r="J64" i="13"/>
  <c r="J65" i="13"/>
  <c r="J61" i="13"/>
  <c r="J83" i="13"/>
  <c r="J74" i="13"/>
  <c r="O17" i="13"/>
  <c r="O16" i="13"/>
  <c r="O14" i="13"/>
  <c r="O13" i="13"/>
  <c r="O12" i="13"/>
  <c r="O11" i="13"/>
  <c r="O9" i="13"/>
  <c r="O8" i="13"/>
  <c r="O7" i="13"/>
  <c r="O6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36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AA54" i="13"/>
  <c r="AA53" i="13"/>
  <c r="AA52" i="13"/>
  <c r="AA51" i="13"/>
  <c r="AA45" i="13"/>
  <c r="AA44" i="13"/>
  <c r="AA42" i="13"/>
  <c r="AA41" i="13"/>
  <c r="AA40" i="13"/>
  <c r="AA39" i="13"/>
  <c r="AA37" i="13"/>
  <c r="AA36" i="13"/>
  <c r="AA35" i="13"/>
  <c r="AA34" i="13"/>
  <c r="AA55" i="13"/>
  <c r="O25" i="13"/>
  <c r="O24" i="13"/>
  <c r="O23" i="13"/>
  <c r="O27" i="13" s="1"/>
  <c r="H70" i="13"/>
  <c r="H69" i="13"/>
  <c r="H73" i="13" s="1"/>
  <c r="H68" i="13"/>
  <c r="H72" i="13" s="1"/>
  <c r="H65" i="13"/>
  <c r="G83" i="13"/>
  <c r="H83" i="13"/>
  <c r="G74" i="13"/>
  <c r="H74" i="13"/>
  <c r="G70" i="13"/>
  <c r="G69" i="13"/>
  <c r="G73" i="13" s="1"/>
  <c r="G68" i="13"/>
  <c r="G72" i="13" s="1"/>
  <c r="G65" i="13"/>
  <c r="B8" i="13"/>
  <c r="C8" i="13"/>
  <c r="D8" i="13"/>
  <c r="E8" i="13"/>
  <c r="F8" i="13"/>
  <c r="G8" i="13"/>
  <c r="H8" i="13"/>
  <c r="I8" i="13"/>
  <c r="J8" i="13"/>
  <c r="K8" i="13"/>
  <c r="L8" i="13"/>
  <c r="B26" i="13"/>
  <c r="C26" i="13"/>
  <c r="D26" i="13"/>
  <c r="E26" i="13"/>
  <c r="F26" i="13"/>
  <c r="G26" i="13"/>
  <c r="H26" i="13"/>
  <c r="I26" i="13"/>
  <c r="J26" i="13"/>
  <c r="K26" i="13"/>
  <c r="L26" i="13"/>
  <c r="M14" i="13"/>
  <c r="M13" i="13"/>
  <c r="M17" i="13" s="1"/>
  <c r="M12" i="13"/>
  <c r="M16" i="13" s="1"/>
  <c r="M9" i="13"/>
  <c r="V55" i="13"/>
  <c r="W55" i="13"/>
  <c r="X55" i="13"/>
  <c r="Y55" i="13"/>
  <c r="V40" i="13"/>
  <c r="W40" i="13"/>
  <c r="X40" i="13"/>
  <c r="Y40" i="13"/>
  <c r="V41" i="13"/>
  <c r="W41" i="13"/>
  <c r="X41" i="13"/>
  <c r="Y41" i="13"/>
  <c r="V42" i="13"/>
  <c r="W42" i="13"/>
  <c r="X42" i="13"/>
  <c r="Y42" i="13"/>
  <c r="V44" i="13"/>
  <c r="W44" i="13"/>
  <c r="X44" i="13"/>
  <c r="Y44" i="13"/>
  <c r="V45" i="13"/>
  <c r="W45" i="13"/>
  <c r="X45" i="13"/>
  <c r="Y45" i="13"/>
  <c r="V46" i="13"/>
  <c r="W46" i="13"/>
  <c r="X46" i="13"/>
  <c r="Y46" i="13"/>
  <c r="V37" i="13"/>
  <c r="W37" i="13"/>
  <c r="X37" i="13"/>
  <c r="Y37" i="13"/>
  <c r="F83" i="13"/>
  <c r="F68" i="13"/>
  <c r="F69" i="13"/>
  <c r="F70" i="13"/>
  <c r="F72" i="13"/>
  <c r="F73" i="13"/>
  <c r="F74" i="13"/>
  <c r="F65" i="13"/>
  <c r="U37" i="13"/>
  <c r="U40" i="13"/>
  <c r="U41" i="13"/>
  <c r="U42" i="13"/>
  <c r="U44" i="13"/>
  <c r="U45" i="13"/>
  <c r="U46" i="13"/>
  <c r="Q55" i="13"/>
  <c r="R55" i="13"/>
  <c r="S55" i="13"/>
  <c r="T55" i="13"/>
  <c r="U55" i="13"/>
  <c r="Q37" i="13"/>
  <c r="R37" i="13"/>
  <c r="S37" i="13"/>
  <c r="T37" i="13"/>
  <c r="Q40" i="13"/>
  <c r="R40" i="13"/>
  <c r="S40" i="13"/>
  <c r="T40" i="13"/>
  <c r="Q41" i="13"/>
  <c r="R41" i="13"/>
  <c r="S41" i="13"/>
  <c r="T41" i="13"/>
  <c r="Q42" i="13"/>
  <c r="R42" i="13"/>
  <c r="S42" i="13"/>
  <c r="T42" i="13"/>
  <c r="Q44" i="13"/>
  <c r="R44" i="13"/>
  <c r="S44" i="13"/>
  <c r="T44" i="13"/>
  <c r="Q45" i="13"/>
  <c r="R45" i="13"/>
  <c r="S45" i="13"/>
  <c r="T45" i="13"/>
  <c r="Q46" i="13"/>
  <c r="R46" i="13"/>
  <c r="S46" i="13"/>
  <c r="T46" i="13"/>
  <c r="M55" i="13"/>
  <c r="N55" i="13"/>
  <c r="O55" i="13"/>
  <c r="P55" i="13"/>
  <c r="M40" i="13"/>
  <c r="N40" i="13"/>
  <c r="O40" i="13"/>
  <c r="P40" i="13"/>
  <c r="M41" i="13"/>
  <c r="N41" i="13"/>
  <c r="O41" i="13"/>
  <c r="P41" i="13"/>
  <c r="M42" i="13"/>
  <c r="N42" i="13"/>
  <c r="O42" i="13"/>
  <c r="P42" i="13"/>
  <c r="M44" i="13"/>
  <c r="N44" i="13"/>
  <c r="O44" i="13"/>
  <c r="P44" i="13"/>
  <c r="M45" i="13"/>
  <c r="N45" i="13"/>
  <c r="O45" i="13"/>
  <c r="P45" i="13"/>
  <c r="M46" i="13"/>
  <c r="N46" i="13"/>
  <c r="O46" i="13"/>
  <c r="P46" i="13"/>
  <c r="M37" i="13"/>
  <c r="N37" i="13"/>
  <c r="O37" i="13"/>
  <c r="P37" i="13"/>
  <c r="L55" i="13"/>
  <c r="L40" i="13"/>
  <c r="L41" i="13"/>
  <c r="L42" i="13"/>
  <c r="L44" i="13"/>
  <c r="L45" i="13"/>
  <c r="L46" i="13"/>
  <c r="L37" i="13"/>
  <c r="H27" i="13"/>
  <c r="I27" i="13"/>
  <c r="J27" i="13"/>
  <c r="K27" i="13"/>
  <c r="L27" i="13"/>
  <c r="M27" i="13"/>
  <c r="H12" i="13"/>
  <c r="I12" i="13"/>
  <c r="J12" i="13"/>
  <c r="K12" i="13"/>
  <c r="L12" i="13"/>
  <c r="H13" i="13"/>
  <c r="I13" i="13"/>
  <c r="J13" i="13"/>
  <c r="K13" i="13"/>
  <c r="L13" i="13"/>
  <c r="H14" i="13"/>
  <c r="I14" i="13"/>
  <c r="J14" i="13"/>
  <c r="K14" i="13"/>
  <c r="L14" i="13"/>
  <c r="H16" i="13"/>
  <c r="I16" i="13"/>
  <c r="J16" i="13"/>
  <c r="K16" i="13"/>
  <c r="L16" i="13"/>
  <c r="H17" i="13"/>
  <c r="I17" i="13"/>
  <c r="J17" i="13"/>
  <c r="K17" i="13"/>
  <c r="L17" i="13"/>
  <c r="H18" i="13"/>
  <c r="I18" i="13"/>
  <c r="J18" i="13"/>
  <c r="K18" i="13"/>
  <c r="L18" i="13"/>
  <c r="M18" i="13"/>
  <c r="I9" i="13"/>
  <c r="J9" i="13"/>
  <c r="K9" i="13"/>
  <c r="L9" i="13"/>
  <c r="H9" i="13"/>
  <c r="J55" i="13"/>
  <c r="K55" i="13"/>
  <c r="J40" i="13"/>
  <c r="K40" i="13"/>
  <c r="J41" i="13"/>
  <c r="K41" i="13"/>
  <c r="J42" i="13"/>
  <c r="K42" i="13"/>
  <c r="J44" i="13"/>
  <c r="K44" i="13"/>
  <c r="J45" i="13"/>
  <c r="K45" i="13"/>
  <c r="J46" i="13"/>
  <c r="K46" i="13"/>
  <c r="J37" i="13"/>
  <c r="K37" i="13"/>
  <c r="E83" i="13"/>
  <c r="E68" i="13"/>
  <c r="E69" i="13"/>
  <c r="E70" i="13"/>
  <c r="E72" i="13"/>
  <c r="E73" i="13"/>
  <c r="E74" i="13"/>
  <c r="E65" i="13"/>
  <c r="G27" i="13"/>
  <c r="G12" i="13"/>
  <c r="G13" i="13"/>
  <c r="G14" i="13"/>
  <c r="G16" i="13"/>
  <c r="G17" i="13"/>
  <c r="G18" i="13"/>
  <c r="G9" i="13"/>
  <c r="D83" i="13"/>
  <c r="D68" i="13"/>
  <c r="D69" i="13"/>
  <c r="D70" i="13"/>
  <c r="D72" i="13"/>
  <c r="D73" i="13"/>
  <c r="D74" i="13"/>
  <c r="D65" i="13"/>
  <c r="F27" i="13"/>
  <c r="F12" i="13"/>
  <c r="F13" i="13"/>
  <c r="F14" i="13"/>
  <c r="F16" i="13"/>
  <c r="F17" i="13"/>
  <c r="F18" i="13"/>
  <c r="F9" i="13"/>
  <c r="H55" i="13"/>
  <c r="I55" i="13"/>
  <c r="H40" i="13"/>
  <c r="I40" i="13"/>
  <c r="H41" i="13"/>
  <c r="I41" i="13"/>
  <c r="H42" i="13"/>
  <c r="I42" i="13"/>
  <c r="H44" i="13"/>
  <c r="I44" i="13"/>
  <c r="H45" i="13"/>
  <c r="I45" i="13"/>
  <c r="H46" i="13"/>
  <c r="I46" i="13"/>
  <c r="H37" i="13"/>
  <c r="I37" i="13"/>
  <c r="D55" i="13"/>
  <c r="E55" i="13"/>
  <c r="F55" i="13"/>
  <c r="G55" i="13"/>
  <c r="C83" i="13"/>
  <c r="C68" i="13"/>
  <c r="C69" i="13"/>
  <c r="C70" i="13"/>
  <c r="C72" i="13"/>
  <c r="C73" i="13"/>
  <c r="C74" i="13"/>
  <c r="C65" i="13"/>
  <c r="D40" i="13"/>
  <c r="E40" i="13"/>
  <c r="F40" i="13"/>
  <c r="G40" i="13"/>
  <c r="D41" i="13"/>
  <c r="E41" i="13"/>
  <c r="F41" i="13"/>
  <c r="G41" i="13"/>
  <c r="D42" i="13"/>
  <c r="E42" i="13"/>
  <c r="F42" i="13"/>
  <c r="G42" i="13"/>
  <c r="D44" i="13"/>
  <c r="E44" i="13"/>
  <c r="F44" i="13"/>
  <c r="G44" i="13"/>
  <c r="D45" i="13"/>
  <c r="E45" i="13"/>
  <c r="F45" i="13"/>
  <c r="G45" i="13"/>
  <c r="D46" i="13"/>
  <c r="E46" i="13"/>
  <c r="F46" i="13"/>
  <c r="G46" i="13"/>
  <c r="D37" i="13"/>
  <c r="E37" i="13"/>
  <c r="F37" i="13"/>
  <c r="G37" i="13"/>
  <c r="D27" i="13"/>
  <c r="E27" i="13"/>
  <c r="E9" i="13"/>
  <c r="E12" i="13"/>
  <c r="E13" i="13"/>
  <c r="E14" i="13"/>
  <c r="E16" i="13"/>
  <c r="E17" i="13"/>
  <c r="E18" i="13"/>
  <c r="B70" i="13"/>
  <c r="B69" i="13"/>
  <c r="B68" i="13"/>
  <c r="B65" i="13"/>
  <c r="C40" i="13"/>
  <c r="C41" i="13"/>
  <c r="C42" i="13"/>
  <c r="B42" i="13"/>
  <c r="B41" i="13"/>
  <c r="B40" i="13"/>
  <c r="C37" i="13"/>
  <c r="B37" i="13"/>
  <c r="C18" i="13"/>
  <c r="D18" i="13"/>
  <c r="C13" i="13"/>
  <c r="D13" i="13"/>
  <c r="C14" i="13"/>
  <c r="D14" i="13"/>
  <c r="C12" i="13"/>
  <c r="C16" i="13" s="1"/>
  <c r="D12" i="13"/>
  <c r="D16" i="13" s="1"/>
  <c r="C9" i="13"/>
  <c r="D9" i="13"/>
  <c r="C55" i="13"/>
  <c r="C46" i="13"/>
  <c r="C45" i="13"/>
  <c r="C44" i="13"/>
  <c r="B83" i="13"/>
  <c r="B74" i="13"/>
  <c r="B73" i="13"/>
  <c r="B72" i="13"/>
  <c r="B55" i="13"/>
  <c r="B46" i="13"/>
  <c r="B45" i="13"/>
  <c r="B44" i="13"/>
  <c r="C27" i="13"/>
  <c r="B27" i="13"/>
  <c r="B18" i="13"/>
  <c r="B14" i="13"/>
  <c r="B13" i="13"/>
  <c r="B17" i="13" s="1"/>
  <c r="B12" i="13"/>
  <c r="B16" i="13" s="1"/>
  <c r="B9" i="13"/>
  <c r="L7" i="1"/>
  <c r="L24" i="1"/>
  <c r="D4" i="12"/>
  <c r="D5" i="12"/>
  <c r="D6" i="12"/>
  <c r="B7" i="12"/>
  <c r="D7" i="12"/>
  <c r="D9" i="12"/>
  <c r="B10" i="12"/>
  <c r="D10" i="12"/>
  <c r="B11" i="12"/>
  <c r="D11" i="12" s="1"/>
  <c r="B12" i="12"/>
  <c r="D12" i="12"/>
  <c r="B14" i="12"/>
  <c r="D14" i="12" s="1"/>
  <c r="D20" i="12"/>
  <c r="D21" i="12"/>
  <c r="D22" i="12"/>
  <c r="O26" i="13" l="1"/>
  <c r="D17" i="13"/>
  <c r="C17" i="13"/>
  <c r="B15" i="12"/>
  <c r="D15" i="12" s="1"/>
  <c r="H4" i="11"/>
  <c r="H5" i="11"/>
  <c r="H6" i="11"/>
  <c r="B7" i="11"/>
  <c r="H7" i="11" s="1"/>
  <c r="C7" i="11"/>
  <c r="D7" i="11"/>
  <c r="E7" i="11"/>
  <c r="F7" i="11"/>
  <c r="H9" i="11"/>
  <c r="C10" i="11"/>
  <c r="C14" i="11" s="1"/>
  <c r="D10" i="11"/>
  <c r="D14" i="11" s="1"/>
  <c r="E10" i="11"/>
  <c r="F10" i="11"/>
  <c r="C11" i="11"/>
  <c r="C15" i="11" s="1"/>
  <c r="D11" i="11"/>
  <c r="E11" i="11"/>
  <c r="F11" i="11"/>
  <c r="F15" i="11" s="1"/>
  <c r="C12" i="11"/>
  <c r="D12" i="11"/>
  <c r="E12" i="11"/>
  <c r="H12" i="11" s="1"/>
  <c r="F12" i="11"/>
  <c r="F14" i="11" s="1"/>
  <c r="E14" i="11"/>
  <c r="D15" i="11"/>
  <c r="H20" i="11"/>
  <c r="H21" i="11"/>
  <c r="H22" i="11"/>
  <c r="H14" i="11" l="1"/>
  <c r="H10" i="11"/>
  <c r="H11" i="11"/>
  <c r="E15" i="11"/>
  <c r="H15" i="11" s="1"/>
  <c r="J4" i="10"/>
  <c r="J5" i="10"/>
  <c r="J6" i="10"/>
  <c r="B7" i="10"/>
  <c r="J7" i="10" s="1"/>
  <c r="C7" i="10"/>
  <c r="D7" i="10"/>
  <c r="E7" i="10"/>
  <c r="F7" i="10"/>
  <c r="G7" i="10"/>
  <c r="H7" i="10"/>
  <c r="J9" i="10"/>
  <c r="B10" i="10"/>
  <c r="C10" i="10"/>
  <c r="J10" i="10" s="1"/>
  <c r="E10" i="10"/>
  <c r="E14" i="10" s="1"/>
  <c r="G10" i="10"/>
  <c r="G14" i="10" s="1"/>
  <c r="B11" i="10"/>
  <c r="B15" i="10" s="1"/>
  <c r="C11" i="10"/>
  <c r="J11" i="10" s="1"/>
  <c r="E11" i="10"/>
  <c r="E15" i="10" s="1"/>
  <c r="G11" i="10"/>
  <c r="B12" i="10"/>
  <c r="C12" i="10"/>
  <c r="J12" i="10" s="1"/>
  <c r="E12" i="10"/>
  <c r="G12" i="10"/>
  <c r="B14" i="10"/>
  <c r="G15" i="10"/>
  <c r="J20" i="10"/>
  <c r="J21" i="10"/>
  <c r="J22" i="10"/>
  <c r="C15" i="10" l="1"/>
  <c r="J15" i="10" s="1"/>
  <c r="C14" i="10"/>
  <c r="J14" i="10" s="1"/>
  <c r="Q4" i="9"/>
  <c r="Q5" i="9"/>
  <c r="Q6" i="9"/>
  <c r="B7" i="9"/>
  <c r="Q7" i="9" s="1"/>
  <c r="C7" i="9"/>
  <c r="D7" i="9"/>
  <c r="E7" i="9"/>
  <c r="F7" i="9"/>
  <c r="G7" i="9"/>
  <c r="H7" i="9"/>
  <c r="I7" i="9"/>
  <c r="J7" i="9"/>
  <c r="K7" i="9"/>
  <c r="L7" i="9"/>
  <c r="M7" i="9"/>
  <c r="N7" i="9"/>
  <c r="O7" i="9"/>
  <c r="Q9" i="9"/>
  <c r="D10" i="9"/>
  <c r="Q10" i="9" s="1"/>
  <c r="E10" i="9"/>
  <c r="F10" i="9"/>
  <c r="G10" i="9"/>
  <c r="H10" i="9"/>
  <c r="I10" i="9"/>
  <c r="J10" i="9"/>
  <c r="D11" i="9"/>
  <c r="Q11" i="9" s="1"/>
  <c r="E11" i="9"/>
  <c r="F11" i="9"/>
  <c r="G11" i="9"/>
  <c r="H11" i="9"/>
  <c r="I11" i="9"/>
  <c r="J11" i="9"/>
  <c r="D12" i="9"/>
  <c r="Q12" i="9" s="1"/>
  <c r="E12" i="9"/>
  <c r="F12" i="9"/>
  <c r="G12" i="9"/>
  <c r="H12" i="9"/>
  <c r="I12" i="9"/>
  <c r="J12" i="9"/>
  <c r="D14" i="9"/>
  <c r="Q14" i="9" s="1"/>
  <c r="E14" i="9"/>
  <c r="F14" i="9"/>
  <c r="G14" i="9"/>
  <c r="H14" i="9"/>
  <c r="I14" i="9"/>
  <c r="J14" i="9"/>
  <c r="D15" i="9"/>
  <c r="Q15" i="9" s="1"/>
  <c r="E15" i="9"/>
  <c r="F15" i="9"/>
  <c r="G15" i="9"/>
  <c r="H15" i="9"/>
  <c r="I15" i="9"/>
  <c r="J15" i="9"/>
  <c r="Q20" i="9"/>
  <c r="Q21" i="9"/>
  <c r="Q22" i="9"/>
  <c r="H4" i="8" l="1"/>
  <c r="H5" i="8"/>
  <c r="H6" i="8"/>
  <c r="B7" i="8"/>
  <c r="H7" i="8" s="1"/>
  <c r="C7" i="8"/>
  <c r="D7" i="8"/>
  <c r="E7" i="8"/>
  <c r="F7" i="8"/>
  <c r="H9" i="8"/>
  <c r="B10" i="8"/>
  <c r="B14" i="8" s="1"/>
  <c r="H14" i="8" s="1"/>
  <c r="C10" i="8"/>
  <c r="C14" i="8" s="1"/>
  <c r="D10" i="8"/>
  <c r="E10" i="8"/>
  <c r="F10" i="8"/>
  <c r="F14" i="8" s="1"/>
  <c r="H10" i="8"/>
  <c r="B11" i="8"/>
  <c r="H11" i="8" s="1"/>
  <c r="C11" i="8"/>
  <c r="D11" i="8"/>
  <c r="D15" i="8" s="1"/>
  <c r="E11" i="8"/>
  <c r="E15" i="8" s="1"/>
  <c r="F11" i="8"/>
  <c r="B12" i="8"/>
  <c r="C12" i="8"/>
  <c r="D12" i="8"/>
  <c r="E12" i="8"/>
  <c r="F12" i="8"/>
  <c r="H12" i="8"/>
  <c r="D14" i="8"/>
  <c r="E14" i="8"/>
  <c r="B15" i="8"/>
  <c r="C15" i="8"/>
  <c r="F15" i="8"/>
  <c r="H20" i="8"/>
  <c r="H21" i="8"/>
  <c r="H22" i="8"/>
  <c r="H15" i="8" l="1"/>
  <c r="E4" i="7"/>
  <c r="E5" i="7"/>
  <c r="E6" i="7"/>
  <c r="B7" i="7"/>
  <c r="E7" i="7" s="1"/>
  <c r="C7" i="7"/>
  <c r="E9" i="7"/>
  <c r="B10" i="7"/>
  <c r="B14" i="7" s="1"/>
  <c r="C10" i="7"/>
  <c r="B11" i="7"/>
  <c r="E11" i="7" s="1"/>
  <c r="C11" i="7"/>
  <c r="C15" i="7" s="1"/>
  <c r="B12" i="7"/>
  <c r="C12" i="7"/>
  <c r="C14" i="7" s="1"/>
  <c r="E12" i="7"/>
  <c r="B15" i="7"/>
  <c r="E15" i="7" s="1"/>
  <c r="E20" i="7"/>
  <c r="E21" i="7"/>
  <c r="E22" i="7"/>
  <c r="E14" i="7" l="1"/>
  <c r="E10" i="7"/>
  <c r="F4" i="6"/>
  <c r="F5" i="6"/>
  <c r="F6" i="6"/>
  <c r="B7" i="6"/>
  <c r="F7" i="6" s="1"/>
  <c r="C7" i="6"/>
  <c r="D7" i="6"/>
  <c r="F9" i="6"/>
  <c r="B10" i="6"/>
  <c r="C10" i="6"/>
  <c r="D10" i="6"/>
  <c r="F10" i="6"/>
  <c r="B11" i="6"/>
  <c r="C11" i="6"/>
  <c r="D11" i="6"/>
  <c r="F11" i="6"/>
  <c r="B12" i="6"/>
  <c r="C12" i="6"/>
  <c r="C14" i="6" s="1"/>
  <c r="D12" i="6"/>
  <c r="D14" i="6" s="1"/>
  <c r="F12" i="6"/>
  <c r="B14" i="6"/>
  <c r="B15" i="6"/>
  <c r="C15" i="6"/>
  <c r="D15" i="6"/>
  <c r="F15" i="6"/>
  <c r="F20" i="6"/>
  <c r="F21" i="6"/>
  <c r="F22" i="6"/>
  <c r="F14" i="6" l="1"/>
  <c r="F4" i="5"/>
  <c r="F5" i="5"/>
  <c r="F6" i="5"/>
  <c r="B7" i="5"/>
  <c r="F7" i="5" s="1"/>
  <c r="C7" i="5"/>
  <c r="D7" i="5"/>
  <c r="F9" i="5"/>
  <c r="B10" i="5"/>
  <c r="C10" i="5"/>
  <c r="F10" i="5"/>
  <c r="B11" i="5"/>
  <c r="B15" i="5" s="1"/>
  <c r="F15" i="5" s="1"/>
  <c r="C11" i="5"/>
  <c r="B12" i="5"/>
  <c r="F12" i="5" s="1"/>
  <c r="C12" i="5"/>
  <c r="C15" i="5" s="1"/>
  <c r="F20" i="5"/>
  <c r="F21" i="5"/>
  <c r="F22" i="5"/>
  <c r="C14" i="5" l="1"/>
  <c r="B14" i="5"/>
  <c r="F14" i="5" s="1"/>
  <c r="F11" i="5"/>
  <c r="J4" i="4"/>
  <c r="J5" i="4"/>
  <c r="J6" i="4"/>
  <c r="B7" i="4"/>
  <c r="J7" i="4" s="1"/>
  <c r="C7" i="4"/>
  <c r="D7" i="4"/>
  <c r="E7" i="4"/>
  <c r="F7" i="4"/>
  <c r="H7" i="4"/>
  <c r="J9" i="4"/>
  <c r="B10" i="4"/>
  <c r="J10" i="4" s="1"/>
  <c r="C10" i="4"/>
  <c r="D10" i="4"/>
  <c r="E10" i="4"/>
  <c r="E14" i="4" s="1"/>
  <c r="F10" i="4"/>
  <c r="F14" i="4" s="1"/>
  <c r="B11" i="4"/>
  <c r="C11" i="4"/>
  <c r="C15" i="4" s="1"/>
  <c r="D11" i="4"/>
  <c r="D15" i="4" s="1"/>
  <c r="E11" i="4"/>
  <c r="F11" i="4"/>
  <c r="B12" i="4"/>
  <c r="J12" i="4" s="1"/>
  <c r="C12" i="4"/>
  <c r="D12" i="4"/>
  <c r="E12" i="4"/>
  <c r="F12" i="4"/>
  <c r="C14" i="4"/>
  <c r="D14" i="4"/>
  <c r="B15" i="4"/>
  <c r="J15" i="4" s="1"/>
  <c r="E15" i="4"/>
  <c r="F15" i="4"/>
  <c r="J20" i="4"/>
  <c r="J21" i="4"/>
  <c r="J22" i="4"/>
  <c r="J11" i="4" l="1"/>
  <c r="B14" i="4"/>
  <c r="J14" i="4" s="1"/>
  <c r="J4" i="3"/>
  <c r="J5" i="3"/>
  <c r="J6" i="3"/>
  <c r="B7" i="3"/>
  <c r="J7" i="3" s="1"/>
  <c r="C7" i="3"/>
  <c r="D7" i="3"/>
  <c r="E7" i="3"/>
  <c r="F7" i="3"/>
  <c r="G7" i="3"/>
  <c r="J9" i="3"/>
  <c r="B10" i="3"/>
  <c r="B14" i="3" s="1"/>
  <c r="C10" i="3"/>
  <c r="D10" i="3"/>
  <c r="E10" i="3"/>
  <c r="F10" i="3"/>
  <c r="F14" i="3" s="1"/>
  <c r="G10" i="3"/>
  <c r="B11" i="3"/>
  <c r="J11" i="3" s="1"/>
  <c r="C11" i="3"/>
  <c r="C15" i="3" s="1"/>
  <c r="D11" i="3"/>
  <c r="E11" i="3"/>
  <c r="F11" i="3"/>
  <c r="G11" i="3"/>
  <c r="G15" i="3" s="1"/>
  <c r="B12" i="3"/>
  <c r="C12" i="3"/>
  <c r="C14" i="3" s="1"/>
  <c r="D12" i="3"/>
  <c r="D14" i="3" s="1"/>
  <c r="E12" i="3"/>
  <c r="F12" i="3"/>
  <c r="G12" i="3"/>
  <c r="G14" i="3" s="1"/>
  <c r="J12" i="3"/>
  <c r="E14" i="3"/>
  <c r="B15" i="3"/>
  <c r="E15" i="3"/>
  <c r="F15" i="3"/>
  <c r="J20" i="3"/>
  <c r="J21" i="3"/>
  <c r="J22" i="3"/>
  <c r="J14" i="3" l="1"/>
  <c r="D15" i="3"/>
  <c r="J15" i="3" s="1"/>
  <c r="J10" i="3"/>
  <c r="G4" i="2"/>
  <c r="G5" i="2"/>
  <c r="G6" i="2"/>
  <c r="B7" i="2"/>
  <c r="G7" i="2" s="1"/>
  <c r="C7" i="2"/>
  <c r="D7" i="2"/>
  <c r="G9" i="2"/>
  <c r="B10" i="2"/>
  <c r="G10" i="2" s="1"/>
  <c r="C10" i="2"/>
  <c r="D10" i="2"/>
  <c r="B11" i="2"/>
  <c r="G11" i="2" s="1"/>
  <c r="C11" i="2"/>
  <c r="D11" i="2"/>
  <c r="B12" i="2"/>
  <c r="G12" i="2" s="1"/>
  <c r="C12" i="2"/>
  <c r="C14" i="2" s="1"/>
  <c r="D12" i="2"/>
  <c r="B14" i="2"/>
  <c r="D14" i="2"/>
  <c r="B15" i="2"/>
  <c r="G15" i="2" s="1"/>
  <c r="C15" i="2"/>
  <c r="D15" i="2"/>
  <c r="G20" i="2"/>
  <c r="G21" i="2"/>
  <c r="G22" i="2"/>
  <c r="G14" i="2" l="1"/>
  <c r="J13" i="1"/>
  <c r="J12" i="1"/>
  <c r="J16" i="1" s="1"/>
  <c r="J11" i="1"/>
  <c r="J15" i="1" s="1"/>
  <c r="J8" i="1"/>
  <c r="I13" i="1" l="1"/>
  <c r="I12" i="1"/>
  <c r="I16" i="1" s="1"/>
  <c r="I11" i="1"/>
  <c r="I8" i="1"/>
  <c r="H13" i="1"/>
  <c r="H12" i="1"/>
  <c r="H16" i="1" s="1"/>
  <c r="H11" i="1"/>
  <c r="H15" i="1" s="1"/>
  <c r="H8" i="1"/>
  <c r="G13" i="1"/>
  <c r="G12" i="1"/>
  <c r="G16" i="1" s="1"/>
  <c r="G11" i="1"/>
  <c r="G8" i="1"/>
  <c r="E13" i="1"/>
  <c r="E12" i="1"/>
  <c r="E16" i="1" s="1"/>
  <c r="E11" i="1"/>
  <c r="E8" i="1"/>
  <c r="D13" i="1"/>
  <c r="D12" i="1"/>
  <c r="D16" i="1" s="1"/>
  <c r="D11" i="1"/>
  <c r="D8" i="1"/>
  <c r="C13" i="1"/>
  <c r="C12" i="1"/>
  <c r="C16" i="1" s="1"/>
  <c r="C11" i="1"/>
  <c r="C8" i="1"/>
  <c r="F13" i="1"/>
  <c r="F12" i="1"/>
  <c r="F16" i="1" s="1"/>
  <c r="F11" i="1"/>
  <c r="F8" i="1"/>
  <c r="E15" i="1" l="1"/>
  <c r="D15" i="1"/>
  <c r="I15" i="1"/>
  <c r="G15" i="1"/>
  <c r="F15" i="1"/>
  <c r="C15" i="1"/>
  <c r="B13" i="1" l="1"/>
  <c r="B12" i="1"/>
  <c r="B16" i="1" s="1"/>
  <c r="B11" i="1"/>
  <c r="B8" i="1"/>
  <c r="B15" i="1" l="1"/>
  <c r="L10" i="1" l="1"/>
  <c r="L6" i="1"/>
  <c r="L5" i="1"/>
  <c r="L4" i="1"/>
  <c r="L23" i="1" l="1"/>
  <c r="L22" i="1"/>
  <c r="L21" i="1"/>
  <c r="L12" i="1" l="1"/>
  <c r="L11" i="1"/>
  <c r="L8" i="1"/>
  <c r="L13" i="1"/>
  <c r="L16" i="1" l="1"/>
  <c r="L15" i="1"/>
</calcChain>
</file>

<file path=xl/sharedStrings.xml><?xml version="1.0" encoding="utf-8"?>
<sst xmlns="http://schemas.openxmlformats.org/spreadsheetml/2006/main" count="1090" uniqueCount="201">
  <si>
    <t>Birthday</t>
  </si>
  <si>
    <t>OCC</t>
  </si>
  <si>
    <t>Jan Birthday</t>
  </si>
  <si>
    <t>Feb Birthday</t>
  </si>
  <si>
    <t>Mar Birthday</t>
  </si>
  <si>
    <t>April Birthday</t>
  </si>
  <si>
    <t>May Birthday</t>
  </si>
  <si>
    <t>June Birthday</t>
  </si>
  <si>
    <t>July Birthday</t>
  </si>
  <si>
    <t>August Birthday</t>
  </si>
  <si>
    <t>Sept Birthday</t>
  </si>
  <si>
    <t>Oct Birthday</t>
  </si>
  <si>
    <t>Nov Birthday</t>
  </si>
  <si>
    <t>Dec Birthday</t>
  </si>
  <si>
    <t>Totals</t>
  </si>
  <si>
    <t>Description</t>
  </si>
  <si>
    <t>$7 off $35+ wines or spirits 
750mL, 1L, 1.5L or 1.75L sizes</t>
  </si>
  <si>
    <t>Dates Active</t>
  </si>
  <si>
    <t>1/1-1/31</t>
  </si>
  <si>
    <t>2/1-2/28</t>
  </si>
  <si>
    <t>3/1-3/31</t>
  </si>
  <si>
    <t>4/1-4/30</t>
  </si>
  <si>
    <t>5/1-5/31</t>
  </si>
  <si>
    <t>6/1-6/30</t>
  </si>
  <si>
    <t>7/1-7/31</t>
  </si>
  <si>
    <t>8/1-8/31</t>
  </si>
  <si>
    <t>9/1-9/30</t>
  </si>
  <si>
    <t>10/1-10/31</t>
  </si>
  <si>
    <t>11/1-11/30</t>
  </si>
  <si>
    <t>12/1-12/31</t>
  </si>
  <si>
    <t>Full Retail Value</t>
  </si>
  <si>
    <t>Markdown Discount (sale prices)</t>
  </si>
  <si>
    <t>Total Promotional Discount</t>
  </si>
  <si>
    <t>Promo Discount (This Promo)</t>
  </si>
  <si>
    <t>Gross Rev</t>
  </si>
  <si>
    <t># of orders</t>
  </si>
  <si>
    <t>Avg Full Retail Value</t>
  </si>
  <si>
    <t>Avg Retail Value w/ Sale Prices</t>
  </si>
  <si>
    <t>Av Retail Value w/ Sale Prices and Promotions</t>
  </si>
  <si>
    <t>Promotional Cost per Order
w/ Sale Prices and Promotions</t>
  </si>
  <si>
    <t>Promotional Cost per Order
w/ Promotions only</t>
  </si>
  <si>
    <t>AOV</t>
  </si>
  <si>
    <t>INSTORE</t>
  </si>
  <si>
    <t>Promo Sales (Trans Total)</t>
  </si>
  <si>
    <t>Gross Profit Margin</t>
  </si>
  <si>
    <t>Transactions</t>
  </si>
  <si>
    <t>Total Discount</t>
  </si>
  <si>
    <t>VBCs</t>
  </si>
  <si>
    <t>Coconut Cartel VBC</t>
  </si>
  <si>
    <t>Keeper's Heart VBC</t>
  </si>
  <si>
    <t>Barr Hill VBC</t>
  </si>
  <si>
    <t>Whistlepig VBC</t>
  </si>
  <si>
    <t>Bombora VBC</t>
  </si>
  <si>
    <t>Azteca Azul VBC</t>
  </si>
  <si>
    <t>El Mayor VBC</t>
  </si>
  <si>
    <t>Rivi VBC</t>
  </si>
  <si>
    <t>El mayor VBC</t>
  </si>
  <si>
    <t>Ballotin VBC</t>
  </si>
  <si>
    <t>Redwood Empire VBC</t>
  </si>
  <si>
    <t>Ammunition VBC</t>
  </si>
  <si>
    <t>Garrison VBC</t>
  </si>
  <si>
    <t>Bonterra VBC</t>
  </si>
  <si>
    <t>Pinhook VBC</t>
  </si>
  <si>
    <t>Kentucky 10 VBC</t>
  </si>
  <si>
    <t>Mijenta VBC</t>
  </si>
  <si>
    <t>Midnight Moon VBC</t>
  </si>
  <si>
    <t>Jager VBC</t>
  </si>
  <si>
    <t>George Remus VBC</t>
  </si>
  <si>
    <t>Dulce Vida VBC</t>
  </si>
  <si>
    <t>Old Forester + Jack Dan VBC</t>
  </si>
  <si>
    <t>$5 off Coconut Cartel Rum 750mL
Pcodes: 855905</t>
  </si>
  <si>
    <t xml:space="preserve">$5 off Keeper's Heart 750mL
</t>
  </si>
  <si>
    <t xml:space="preserve">$10 off Barr Hill Gin 750mL
</t>
  </si>
  <si>
    <t xml:space="preserve">$10 off Whistlepig Whiskey 750mL
</t>
  </si>
  <si>
    <t xml:space="preserve">$5 off Bombora Vodka 750mL
</t>
  </si>
  <si>
    <t xml:space="preserve">$5 off Azteca Azul Tequila 750mL
</t>
  </si>
  <si>
    <t xml:space="preserve">$8 off El Mayor Tequila 750mL
</t>
  </si>
  <si>
    <t xml:space="preserve">$5 off Rivi Gin 750mL
</t>
  </si>
  <si>
    <t>$8 off El Mayor Tequila 
Pcodes: 301805, 301905</t>
  </si>
  <si>
    <t>$5 off Ballotin Chocolate Whiskey 
Pcodes: 975905, 976005, 976905, 977005, 977205, 977305, 977505, 977605</t>
  </si>
  <si>
    <t>$5 off Redwood Empire
Pcodes: 719305, 719005 &amp; 718905</t>
  </si>
  <si>
    <t>$10 off Ammunition Bourbon
Pcodes: 269005</t>
  </si>
  <si>
    <t>$10 off Garrison Brothers
Pcodes: 381805, 382105, 382405, 383905</t>
  </si>
  <si>
    <t>$5 off Bonterra Wine
Pcodes: 315205, 315905, 319005</t>
  </si>
  <si>
    <t>$10 off Pinhook Bourbon
Pcodes: 745005</t>
  </si>
  <si>
    <t>$5 off Kentucky 10 Bourbon
Pcodes: 269005</t>
  </si>
  <si>
    <t>$10 off Ballotin
Pcodes: 975905, 976005, 976905, 977005, 977205, 977305, 977505, 977605</t>
  </si>
  <si>
    <t>$10 off Mijenta
Pcodes: 620505, 620705</t>
  </si>
  <si>
    <t>$5 off Midnight Moon
Pcodes: 489505</t>
  </si>
  <si>
    <t>$2 off Jager
Pcodes: 489610, 489605</t>
  </si>
  <si>
    <t>$10 off George Remus Bourbon
Pcode: 468205</t>
  </si>
  <si>
    <t>$5 off Dulce Vida Tequila
Pcodes: 116705, 119405</t>
  </si>
  <si>
    <t>$5 off Coconut Cartel Rum
Pcode: 855905</t>
  </si>
  <si>
    <t>$5 off Old Forester &amp; Jack Daniels
Pcodes:  689605, 689205, 690305, 655405, 655505, 476306, 476406, 476906</t>
  </si>
  <si>
    <t>1/29-2/25</t>
  </si>
  <si>
    <t>2/26-4/1</t>
  </si>
  <si>
    <t>4/2-4/29</t>
  </si>
  <si>
    <t>4/30-5/29</t>
  </si>
  <si>
    <t>6/25-7/29</t>
  </si>
  <si>
    <t>7/30-8/26</t>
  </si>
  <si>
    <t>8/27-9/30</t>
  </si>
  <si>
    <t>10/1-10/28</t>
  </si>
  <si>
    <t>11/26-1/1</t>
  </si>
  <si>
    <t>Total Discount (This Promo)</t>
  </si>
  <si>
    <t>Free Bottles</t>
  </si>
  <si>
    <t>Valentine's Free Bottle</t>
  </si>
  <si>
    <t>Easter Free Bottle</t>
  </si>
  <si>
    <t>Mother's Day Free Bottle</t>
  </si>
  <si>
    <t>Father's Day Free Bottle</t>
  </si>
  <si>
    <t>Thanksgiving Free Bottle</t>
  </si>
  <si>
    <t>Christmas Free Bottle</t>
  </si>
  <si>
    <t>NYE Free Bottle</t>
  </si>
  <si>
    <t>Spend $50+, get a free wine (Silver+Gold Access Members)
Pcodes: 600855, 418155, 731555 &amp; 600155</t>
  </si>
  <si>
    <t>Spend $50, get a free Wine (Silver &amp; Gold Key members)</t>
  </si>
  <si>
    <t>Spend $50, get a free Wine (Gold Key members)</t>
  </si>
  <si>
    <t>Spend $50, get a free wine
Pcodes: 399705, 843855, 954155, 600355, 418055</t>
  </si>
  <si>
    <t>Spend $50, get a free wine
All ABC Access
Pcodes: 399705, 600355, 954155, 868155</t>
  </si>
  <si>
    <t>Spend $50, get a free wine
Gold Key Only
Pcodes: 400655 292705 229455 165755 445355</t>
  </si>
  <si>
    <t>2/7-2/9</t>
  </si>
  <si>
    <t>4/4-4/6</t>
  </si>
  <si>
    <t>5/7-5/9</t>
  </si>
  <si>
    <t>6/12-6/14</t>
  </si>
  <si>
    <t>11/5-11/7</t>
  </si>
  <si>
    <t>12/13-12/15</t>
  </si>
  <si>
    <t>12/26-12/28</t>
  </si>
  <si>
    <t>Day 8 S&amp;C Sale</t>
  </si>
  <si>
    <t>eGift Card</t>
  </si>
  <si>
    <t>$10 off $75+ S&amp;C wines or spirits 
700 mL, 750mL, 1L, 1.5L or 1.75L sizes</t>
  </si>
  <si>
    <t>Get a free $10 bonus card to keep for every $75 in gift cards you buy online.</t>
  </si>
  <si>
    <t>12/20/2023 Only</t>
  </si>
  <si>
    <t>1/1-3/1</t>
  </si>
  <si>
    <t>Promo Discounts (Total all promos)</t>
  </si>
  <si>
    <t>Promotional Cost per Order
w/ Total Sale Prices and Promotions</t>
  </si>
  <si>
    <t>Priority Store Coupon</t>
  </si>
  <si>
    <t>$15 off $75+ wines or spirits 
700 mL, 750mL, 1L, 1.5L or 1.75L sizes</t>
  </si>
  <si>
    <t>11/14-11/16</t>
  </si>
  <si>
    <t>Promotional Discount</t>
  </si>
  <si>
    <t>Nov Tasting Coupon</t>
  </si>
  <si>
    <t>10% off wines or spirits 
750mL, 1L, 1.5L or 1.75L sizes</t>
  </si>
  <si>
    <t>Oct Tasting Coupon</t>
  </si>
  <si>
    <t>Libations By the River Coupon</t>
  </si>
  <si>
    <t>$5 off $35+ S&amp;C wines
750mL, 1L, 1.5L sizes</t>
  </si>
  <si>
    <t>9/23-10/8</t>
  </si>
  <si>
    <t>-</t>
  </si>
  <si>
    <t>Sept Tasting Coupon</t>
  </si>
  <si>
    <t>ABC Tasting Coupon</t>
  </si>
  <si>
    <t>$5 off $35+ wines or spirits 
750mL, 1L, 1.5L or 1.75L sizes</t>
  </si>
  <si>
    <t>8/18-9/3</t>
  </si>
  <si>
    <t>Mother's Day GoGo</t>
  </si>
  <si>
    <t>$10 off any Online purchase</t>
  </si>
  <si>
    <t>5/15-6/30</t>
  </si>
  <si>
    <t>Rio Vista Promo</t>
  </si>
  <si>
    <t>St. Lucie Ad</t>
  </si>
  <si>
    <t>Vero Beach Print Ad</t>
  </si>
  <si>
    <t>Bellaggio Promo</t>
  </si>
  <si>
    <t>Sandestin Wine Coupon</t>
  </si>
  <si>
    <t>Store 144 Relocation</t>
  </si>
  <si>
    <t>Store 114 Mailer</t>
  </si>
  <si>
    <t>Store 96 Mailer</t>
  </si>
  <si>
    <t>$5 off $50+ S&amp;C wines or spirits 
750mL, 1L, 1.5L or 1.75L sizes</t>
  </si>
  <si>
    <t xml:space="preserve">$5 off $50+ S&amp;C wines
750mL, 1L, 1.5L </t>
  </si>
  <si>
    <t>$10 off $75+ wines orders 
750mL, 1L, 1.5L sizes</t>
  </si>
  <si>
    <t>$15 off $75+ wines or spirits 
750mL, 1L, 1.5L or 1.75L sizes</t>
  </si>
  <si>
    <t>3/13-4/12</t>
  </si>
  <si>
    <t>3/16-4/16</t>
  </si>
  <si>
    <t>3/30-4/23</t>
  </si>
  <si>
    <t>4/10-5/1</t>
  </si>
  <si>
    <t>4/13-4/30</t>
  </si>
  <si>
    <t>4/19-5/28</t>
  </si>
  <si>
    <t>4/21-7/2</t>
  </si>
  <si>
    <t>4/21-7/30</t>
  </si>
  <si>
    <t>St Patty Promo</t>
  </si>
  <si>
    <t>Los Rijos Feature</t>
  </si>
  <si>
    <t xml:space="preserve">$5 off Los Rijos Tequila 750mL or larger
</t>
  </si>
  <si>
    <t>3/16-3/23</t>
  </si>
  <si>
    <t>3/21-3/26</t>
  </si>
  <si>
    <t>V-Day $5 Off</t>
  </si>
  <si>
    <t>$5 off $75+ wines or spirits 
750mL, 1L, 1.5L or 1.75L sizes</t>
  </si>
  <si>
    <t>1/27-2/28</t>
  </si>
  <si>
    <t>2/13 only</t>
  </si>
  <si>
    <t>Online</t>
  </si>
  <si>
    <t>Row Labels</t>
  </si>
  <si>
    <t>Count VBCs</t>
  </si>
  <si>
    <t>Average of AOV</t>
  </si>
  <si>
    <t>Sum of # of orders</t>
  </si>
  <si>
    <t>Sum of Full Retail Value</t>
  </si>
  <si>
    <t>Sum of Promo Discount (This Promo)</t>
  </si>
  <si>
    <t>Count of VBCs</t>
  </si>
  <si>
    <t>Bourbon</t>
  </si>
  <si>
    <t>Whiskey</t>
  </si>
  <si>
    <t>Tequila</t>
  </si>
  <si>
    <t>Wine</t>
  </si>
  <si>
    <t>Gin</t>
  </si>
  <si>
    <t>Liqueur</t>
  </si>
  <si>
    <t>Vodka</t>
  </si>
  <si>
    <t>Rum</t>
  </si>
  <si>
    <t>Grand Total</t>
  </si>
  <si>
    <t>Instore</t>
  </si>
  <si>
    <t>Sum of Transactions</t>
  </si>
  <si>
    <t>Sum of Promo Sales (Trans Total)</t>
  </si>
  <si>
    <t>Sum of Total Discount (This Promo)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</si>
</sst>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3EA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  <xf numFmtId="8" fontId="0" fillId="2" borderId="5" xfId="0" applyNumberFormat="1" applyFill="1" applyBorder="1"/>
    <xf numFmtId="8" fontId="0" fillId="0" borderId="0" xfId="0" applyNumberFormat="1"/>
    <xf numFmtId="0" fontId="0" fillId="2" borderId="1" xfId="0" applyFill="1" applyBorder="1"/>
    <xf numFmtId="8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10" fontId="0" fillId="0" borderId="0" xfId="1" applyNumberFormat="1" applyFont="1"/>
    <xf numFmtId="0" fontId="1" fillId="0" borderId="0" xfId="0" applyFont="1"/>
    <xf numFmtId="1" fontId="0" fillId="2" borderId="1" xfId="0" applyNumberFormat="1" applyFill="1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  <xf numFmtId="10" fontId="0" fillId="4" borderId="5" xfId="1" applyNumberFormat="1" applyFont="1" applyFill="1" applyBorder="1"/>
    <xf numFmtId="10" fontId="0" fillId="4" borderId="1" xfId="1" applyNumberFormat="1" applyFont="1" applyFill="1" applyBorder="1" applyAlignment="1">
      <alignment horizontal="right"/>
    </xf>
    <xf numFmtId="0" fontId="0" fillId="4" borderId="5" xfId="0" applyFill="1" applyBorder="1"/>
    <xf numFmtId="165" fontId="0" fillId="4" borderId="1" xfId="2" applyNumberFormat="1" applyFont="1" applyFill="1" applyBorder="1" applyAlignment="1">
      <alignment horizontal="right"/>
    </xf>
    <xf numFmtId="16" fontId="0" fillId="2" borderId="3" xfId="0" applyNumberForma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165" fontId="0" fillId="0" borderId="0" xfId="2" applyNumberFormat="1" applyFont="1"/>
    <xf numFmtId="0" fontId="0" fillId="0" borderId="0" xfId="0" applyAlignment="1">
      <alignment horizontal="center" vertical="center" wrapText="1"/>
    </xf>
    <xf numFmtId="10" fontId="0" fillId="0" borderId="0" xfId="1" applyNumberFormat="1" applyFont="1" applyFill="1" applyBorder="1" applyAlignment="1">
      <alignment horizontal="right"/>
    </xf>
    <xf numFmtId="165" fontId="0" fillId="0" borderId="0" xfId="2" applyNumberFormat="1" applyFont="1" applyFill="1" applyBorder="1" applyAlignment="1">
      <alignment horizontal="right"/>
    </xf>
    <xf numFmtId="165" fontId="0" fillId="4" borderId="5" xfId="2" applyNumberFormat="1" applyFont="1" applyFill="1" applyBorder="1" applyAlignment="1">
      <alignment horizontal="right"/>
    </xf>
    <xf numFmtId="10" fontId="0" fillId="4" borderId="5" xfId="1" applyNumberFormat="1" applyFont="1" applyFill="1" applyBorder="1" applyAlignment="1">
      <alignment horizontal="right"/>
    </xf>
    <xf numFmtId="164" fontId="0" fillId="4" borderId="5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right"/>
    </xf>
    <xf numFmtId="8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4" borderId="5" xfId="0" applyNumberFormat="1" applyFill="1" applyBorder="1" applyAlignment="1">
      <alignment horizontal="right"/>
    </xf>
    <xf numFmtId="1" fontId="0" fillId="0" borderId="0" xfId="0" applyNumberFormat="1"/>
    <xf numFmtId="0" fontId="0" fillId="4" borderId="6" xfId="0" applyFill="1" applyBorder="1"/>
    <xf numFmtId="164" fontId="0" fillId="4" borderId="6" xfId="0" applyNumberFormat="1" applyFill="1" applyBorder="1"/>
    <xf numFmtId="165" fontId="0" fillId="4" borderId="2" xfId="2" applyNumberFormat="1" applyFont="1" applyFill="1" applyBorder="1" applyAlignment="1">
      <alignment horizontal="right"/>
    </xf>
    <xf numFmtId="6" fontId="0" fillId="4" borderId="6" xfId="0" applyNumberFormat="1" applyFill="1" applyBorder="1"/>
    <xf numFmtId="8" fontId="0" fillId="4" borderId="6" xfId="0" applyNumberFormat="1" applyFill="1" applyBorder="1"/>
    <xf numFmtId="8" fontId="0" fillId="4" borderId="7" xfId="0" applyNumberFormat="1" applyFill="1" applyBorder="1"/>
    <xf numFmtId="0" fontId="0" fillId="4" borderId="8" xfId="0" applyFill="1" applyBorder="1"/>
    <xf numFmtId="0" fontId="1" fillId="6" borderId="0" xfId="0" applyFont="1" applyFill="1"/>
    <xf numFmtId="0" fontId="0" fillId="2" borderId="6" xfId="0" applyFill="1" applyBorder="1" applyAlignment="1">
      <alignment wrapText="1"/>
    </xf>
    <xf numFmtId="6" fontId="0" fillId="4" borderId="7" xfId="0" applyNumberFormat="1" applyFill="1" applyBorder="1"/>
    <xf numFmtId="166" fontId="0" fillId="4" borderId="6" xfId="0" applyNumberFormat="1" applyFill="1" applyBorder="1"/>
    <xf numFmtId="8" fontId="0" fillId="2" borderId="2" xfId="0" applyNumberFormat="1" applyFill="1" applyBorder="1"/>
    <xf numFmtId="6" fontId="0" fillId="2" borderId="9" xfId="0" applyNumberFormat="1" applyFill="1" applyBorder="1"/>
    <xf numFmtId="6" fontId="0" fillId="2" borderId="6" xfId="0" applyNumberFormat="1" applyFill="1" applyBorder="1"/>
    <xf numFmtId="164" fontId="0" fillId="0" borderId="0" xfId="0" applyNumberFormat="1"/>
    <xf numFmtId="8" fontId="0" fillId="4" borderId="1" xfId="0" applyNumberFormat="1" applyFill="1" applyBorder="1"/>
    <xf numFmtId="0" fontId="0" fillId="7" borderId="0" xfId="0" applyFill="1" applyAlignment="1">
      <alignment wrapText="1"/>
    </xf>
    <xf numFmtId="165" fontId="0" fillId="7" borderId="0" xfId="0" applyNumberFormat="1" applyFill="1" applyAlignment="1">
      <alignment wrapText="1"/>
    </xf>
    <xf numFmtId="0" fontId="0" fillId="7" borderId="0" xfId="0" applyFill="1"/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0" fontId="0" fillId="7" borderId="0" xfId="0" applyFill="1" applyAlignment="1">
      <alignment horizontal="left"/>
    </xf>
    <xf numFmtId="165" fontId="0" fillId="7" borderId="0" xfId="0" applyNumberFormat="1" applyFill="1"/>
    <xf numFmtId="44" fontId="0" fillId="7" borderId="0" xfId="0" applyNumberFormat="1" applyFill="1"/>
    <xf numFmtId="164" fontId="0" fillId="7" borderId="0" xfId="0" applyNumberFormat="1" applyFill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0" fillId="7" borderId="0" xfId="0" pivotButton="1" applyFill="1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37"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wrapText="1"/>
    </dxf>
    <dxf>
      <alignment wrapText="1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wrapText="1"/>
    </dxf>
    <dxf>
      <alignment wrapText="1"/>
    </dxf>
    <dxf>
      <numFmt numFmtId="34" formatCode="_(&quot;$&quot;* #,##0.00_);_(&quot;$&quot;* \(#,##0.00\);_(&quot;$&quot;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wrapText="1"/>
    </dxf>
    <dxf>
      <alignment wrapText="1"/>
    </dxf>
    <dxf>
      <alignment wrapText="1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&quot;$&quot;#,##0.00"/>
    </dxf>
    <dxf>
      <numFmt numFmtId="164" formatCode="&quot;$&quot;#,##0.00"/>
    </dxf>
    <dxf>
      <alignment wrapText="1"/>
    </dxf>
    <dxf>
      <alignment wrapText="1"/>
    </dxf>
    <dxf>
      <numFmt numFmtId="164" formatCode="&quot;$&quot;#,##0.0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64" formatCode="&quot;$&quot;#,##0.00"/>
    </dxf>
  </dxfs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zelko, Tim" refreshedDate="45405.667013773149" createdVersion="8" refreshedVersion="8" minRefreshableVersion="3" recordCount="24" xr:uid="{FDCFD12A-2E0B-449B-8851-D3FC5EE56B7E}">
  <cacheSource type="worksheet">
    <worksheetSource ref="S1:AA25" sheet="Sheet2" r:id="rId2"/>
  </cacheSource>
  <cacheFields count="9">
    <cacheField name="INSTORE" numFmtId="0">
      <sharedItems/>
    </cacheField>
    <cacheField name="VBC Type" numFmtId="0">
      <sharedItems count="8">
        <s v="Rum"/>
        <s v="Bourbon"/>
        <s v="Gin"/>
        <s v="Whiskey"/>
        <s v="Vodka"/>
        <s v="Tequila"/>
        <s v="Wine"/>
        <s v="Liqueur"/>
      </sharedItems>
    </cacheField>
    <cacheField name="Description" numFmtId="0">
      <sharedItems/>
    </cacheField>
    <cacheField name="Dates Active" numFmtId="0">
      <sharedItems count="9">
        <s v="1/29-2/25"/>
        <s v="2/26-4/1"/>
        <s v="4/2-4/29"/>
        <s v="4/30-5/29"/>
        <s v="6/25-7/29"/>
        <s v="7/30-8/26"/>
        <s v="8/27-9/30"/>
        <s v="10/1-10/28"/>
        <s v="11/26-1/1"/>
      </sharedItems>
    </cacheField>
    <cacheField name="Promo Sales (Trans Total)" numFmtId="164">
      <sharedItems containsSemiMixedTypes="0" containsString="0" containsNumber="1" minValue="290.85000000000002" maxValue="10171.06"/>
    </cacheField>
    <cacheField name="Gross Profit Margin" numFmtId="10">
      <sharedItems containsSemiMixedTypes="0" containsString="0" containsNumber="1" minValue="1.77E-2" maxValue="0.3115"/>
    </cacheField>
    <cacheField name="Transactions" numFmtId="0">
      <sharedItems containsSemiMixedTypes="0" containsString="0" containsNumber="1" containsInteger="1" minValue="2" maxValue="132"/>
    </cacheField>
    <cacheField name="Total Discount (This Promo)" numFmtId="0">
      <sharedItems containsSemiMixedTypes="0" containsString="0" containsNumber="1" containsInteger="1" minValue="6" maxValue="1320"/>
    </cacheField>
    <cacheField name="AOV" numFmtId="164">
      <sharedItems containsSemiMixedTypes="0" containsString="0" containsNumber="1" minValue="39.925294117647063" maxValue="247.0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zelko, Tim" refreshedDate="45405.669244907411" createdVersion="8" refreshedVersion="8" minRefreshableVersion="3" recordCount="24" xr:uid="{B23F865C-394A-4878-8EE9-ECC64FBC66DE}">
  <cacheSource type="worksheet">
    <worksheetSource ref="A1:P25" sheet="Sheet2" r:id="rId2"/>
  </cacheSource>
  <cacheFields count="16">
    <cacheField name="OCC" numFmtId="0">
      <sharedItems/>
    </cacheField>
    <cacheField name="VBC Type" numFmtId="0">
      <sharedItems/>
    </cacheField>
    <cacheField name="Description" numFmtId="0">
      <sharedItems/>
    </cacheField>
    <cacheField name="Dates Active" numFmtId="0">
      <sharedItems count="9">
        <s v="1/29-2/25"/>
        <s v="2/26-4/1"/>
        <s v="4/2-4/29"/>
        <s v="4/30-5/29"/>
        <s v="6/25-7/29"/>
        <s v="7/30-8/26"/>
        <s v="8/27-9/30"/>
        <s v="10/1-10/28"/>
        <s v="11/26-1/1"/>
      </sharedItems>
    </cacheField>
    <cacheField name="Full Retail Value" numFmtId="8">
      <sharedItems containsSemiMixedTypes="0" containsString="0" containsNumber="1" minValue="85.98" maxValue="3261.98"/>
    </cacheField>
    <cacheField name="Markdown Discount (sale prices)" numFmtId="8">
      <sharedItems containsSemiMixedTypes="0" containsString="0" containsNumber="1" minValue="2" maxValue="292.43"/>
    </cacheField>
    <cacheField name="Total Promotional Discount" numFmtId="8">
      <sharedItems containsSemiMixedTypes="0" containsString="0" containsNumber="1" minValue="2" maxValue="589.91999999999996"/>
    </cacheField>
    <cacheField name="Promo Discount (This Promo)" numFmtId="8">
      <sharedItems containsSemiMixedTypes="0" containsString="0" containsNumber="1" containsInteger="1" minValue="2" maxValue="380"/>
    </cacheField>
    <cacheField name="Gross Rev" numFmtId="8">
      <sharedItems containsSemiMixedTypes="0" containsString="0" containsNumber="1" minValue="76.98" maxValue="2608.44"/>
    </cacheField>
    <cacheField name="# of orders" numFmtId="1">
      <sharedItems containsSemiMixedTypes="0" containsString="0" containsNumber="1" containsInteger="1" minValue="1" maxValue="38"/>
    </cacheField>
    <cacheField name="Avg Full Retail Value" numFmtId="8">
      <sharedItems containsSemiMixedTypes="0" containsString="0" containsNumber="1" minValue="48.227499999999999" maxValue="151.20500000000001"/>
    </cacheField>
    <cacheField name="Avg Retail Value w/ Sale Prices" numFmtId="8">
      <sharedItems containsSemiMixedTypes="0" containsString="0" containsNumber="1" minValue="43.692857142857143" maxValue="147.45500000000001"/>
    </cacheField>
    <cacheField name="Av Retail Value w/ Sale Prices and Promotions" numFmtId="8">
      <sharedItems containsSemiMixedTypes="0" containsString="0" containsNumber="1" minValue="33.756111111111103" maxValue="127.20750000000001"/>
    </cacheField>
    <cacheField name="Promotional Cost per Order_x000a_w/ Sale Prices and Promotions" numFmtId="8">
      <sharedItems containsSemiMixedTypes="0" containsString="0" containsNumber="1" minValue="9" maxValue="30.234285714285704"/>
    </cacheField>
    <cacheField name="Promotional Cost per Order_x000a_w/ Promotions only" numFmtId="8">
      <sharedItems containsSemiMixedTypes="0" containsString="0" containsNumber="1" minValue="2" maxValue="28.091428571428565"/>
    </cacheField>
    <cacheField name="AOV" numFmtId="8">
      <sharedItems containsSemiMixedTypes="0" containsString="0" containsNumber="1" minValue="48.227499999999999" maxValue="151.205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zelko, Tim" refreshedDate="45405.667014004626" createdVersion="8" refreshedVersion="8" minRefreshableVersion="3" recordCount="25" xr:uid="{31D07EC7-8B32-42AF-B0F9-AC826DE7B606}">
  <cacheSource type="worksheet">
    <worksheetSource ref="A1:P1048576" sheet="Sheet2" r:id="rId2"/>
  </cacheSource>
  <cacheFields count="16">
    <cacheField name="OCC" numFmtId="0">
      <sharedItems containsBlank="1"/>
    </cacheField>
    <cacheField name="VBC Type" numFmtId="0">
      <sharedItems containsBlank="1" count="9">
        <s v="Rum"/>
        <s v="Bourbon"/>
        <s v="Gin"/>
        <s v="Whiskey"/>
        <s v="Vodka"/>
        <s v="Tequila"/>
        <s v="Wine"/>
        <s v="Liqueur"/>
        <m/>
      </sharedItems>
    </cacheField>
    <cacheField name="Description" numFmtId="0">
      <sharedItems containsBlank="1"/>
    </cacheField>
    <cacheField name="Dates Active" numFmtId="0">
      <sharedItems containsBlank="1"/>
    </cacheField>
    <cacheField name="Full Retail Value" numFmtId="0">
      <sharedItems containsString="0" containsBlank="1" containsNumber="1" minValue="85.98" maxValue="3261.98"/>
    </cacheField>
    <cacheField name="Markdown Discount (sale prices)" numFmtId="0">
      <sharedItems containsString="0" containsBlank="1" containsNumber="1" minValue="2" maxValue="292.43"/>
    </cacheField>
    <cacheField name="Total Promotional Discount" numFmtId="0">
      <sharedItems containsString="0" containsBlank="1" containsNumber="1" minValue="2" maxValue="589.91999999999996"/>
    </cacheField>
    <cacheField name="Promo Discount (This Promo)" numFmtId="0">
      <sharedItems containsString="0" containsBlank="1" containsNumber="1" containsInteger="1" minValue="2" maxValue="380"/>
    </cacheField>
    <cacheField name="Gross Rev" numFmtId="0">
      <sharedItems containsString="0" containsBlank="1" containsNumber="1" minValue="76.98" maxValue="2608.44"/>
    </cacheField>
    <cacheField name="# of orders" numFmtId="0">
      <sharedItems containsString="0" containsBlank="1" containsNumber="1" containsInteger="1" minValue="1" maxValue="38"/>
    </cacheField>
    <cacheField name="Avg Full Retail Value" numFmtId="0">
      <sharedItems containsString="0" containsBlank="1" containsNumber="1" minValue="48.227499999999999" maxValue="151.20500000000001"/>
    </cacheField>
    <cacheField name="Avg Retail Value w/ Sale Prices" numFmtId="0">
      <sharedItems containsString="0" containsBlank="1" containsNumber="1" minValue="43.692857142857143" maxValue="147.45500000000001"/>
    </cacheField>
    <cacheField name="Av Retail Value w/ Sale Prices and Promotions" numFmtId="0">
      <sharedItems containsString="0" containsBlank="1" containsNumber="1" minValue="33.756111111111103" maxValue="127.20750000000001"/>
    </cacheField>
    <cacheField name="Promotional Cost per Order_x000a_w/ Sale Prices and Promotions" numFmtId="0">
      <sharedItems containsString="0" containsBlank="1" containsNumber="1" minValue="9" maxValue="30.234285714285704"/>
    </cacheField>
    <cacheField name="Promotional Cost per Order_x000a_w/ Promotions only" numFmtId="0">
      <sharedItems containsString="0" containsBlank="1" containsNumber="1" minValue="2" maxValue="28.091428571428565"/>
    </cacheField>
    <cacheField name="AOV" numFmtId="0">
      <sharedItems containsString="0" containsBlank="1" containsNumber="1" minValue="48.227499999999999" maxValue="151.205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oconut Cartel VBC"/>
    <x v="0"/>
    <s v="$5 off Coconut Cartel Rum 750mL_x000a_Pcodes: 855905"/>
    <x v="0"/>
    <n v="799.69"/>
    <n v="0.15709999999999999"/>
    <n v="17"/>
    <n v="85"/>
    <n v="47.040588235294123"/>
  </r>
  <r>
    <s v="Keeper's Heart VBC"/>
    <x v="1"/>
    <s v="$5 off Keeper's Heart 750mL_x000a_"/>
    <x v="1"/>
    <n v="1747.28"/>
    <n v="0.25190000000000001"/>
    <n v="26"/>
    <n v="130"/>
    <n v="67.203076923076921"/>
  </r>
  <r>
    <s v="Barr Hill VBC"/>
    <x v="2"/>
    <s v="$10 off Barr Hill Gin 750mL_x000a_"/>
    <x v="2"/>
    <n v="3456.34"/>
    <n v="0.16439999999999999"/>
    <n v="37"/>
    <n v="370"/>
    <n v="93.414594594594604"/>
  </r>
  <r>
    <s v="Whistlepig VBC"/>
    <x v="3"/>
    <s v="$10 off Whistlepig Whiskey 750mL_x000a_"/>
    <x v="2"/>
    <n v="10171.06"/>
    <n v="0.1191"/>
    <n v="132"/>
    <n v="1320"/>
    <n v="77.053484848484842"/>
  </r>
  <r>
    <s v="Bombora VBC"/>
    <x v="4"/>
    <s v="$5 off Bombora Vodka 750mL_x000a_"/>
    <x v="2"/>
    <n v="678.73"/>
    <n v="6.9400000000000003E-2"/>
    <n v="17"/>
    <n v="85"/>
    <n v="39.925294117647063"/>
  </r>
  <r>
    <s v="Azteca Azul VBC"/>
    <x v="5"/>
    <s v="$5 off Azteca Azul Tequila 750mL_x000a_"/>
    <x v="2"/>
    <n v="870.47"/>
    <n v="0.19"/>
    <n v="15"/>
    <n v="75"/>
    <n v="58.031333333333336"/>
  </r>
  <r>
    <s v="El Mayor VBC"/>
    <x v="5"/>
    <s v="$8 off El Mayor Tequila 750mL_x000a_"/>
    <x v="3"/>
    <n v="1398.92"/>
    <n v="7.4999999999999997E-2"/>
    <n v="23"/>
    <n v="184"/>
    <n v="60.822608695652178"/>
  </r>
  <r>
    <s v="Rivi VBC"/>
    <x v="2"/>
    <s v="$5 off Rivi Gin 750mL_x000a_"/>
    <x v="3"/>
    <n v="494.19"/>
    <n v="0.28420000000000001"/>
    <n v="2"/>
    <n v="10"/>
    <n v="247.095"/>
  </r>
  <r>
    <s v="El Mayor VBC"/>
    <x v="5"/>
    <s v="$8 off El Mayor Tequila _x000a_Pcodes: 301805, 301905"/>
    <x v="4"/>
    <n v="1183.73"/>
    <n v="0.112"/>
    <n v="18"/>
    <n v="144"/>
    <n v="65.762777777777785"/>
  </r>
  <r>
    <s v="Ballotin VBC"/>
    <x v="3"/>
    <s v="$5 off Ballotin Chocolate Whiskey _x000a_Pcodes: 975905, 976005, 976905, 977005, 977205, 977305, 977505, 977605"/>
    <x v="4"/>
    <n v="952.79"/>
    <n v="0.1648"/>
    <n v="16"/>
    <n v="80"/>
    <n v="59.549374999999998"/>
  </r>
  <r>
    <s v="Redwood Empire VBC"/>
    <x v="1"/>
    <s v="$5 off Redwood Empire_x000a_Pcodes: 719305, 719005 &amp; 718905"/>
    <x v="5"/>
    <n v="3099.74"/>
    <n v="0.17399999999999999"/>
    <n v="50"/>
    <n v="250"/>
    <n v="61.994799999999998"/>
  </r>
  <r>
    <s v="Ammunition VBC"/>
    <x v="1"/>
    <s v="$10 off Ammunition Bourbon_x000a_Pcodes: 269005"/>
    <x v="6"/>
    <n v="2525.8200000000002"/>
    <n v="0.16039999999999999"/>
    <n v="30"/>
    <n v="300"/>
    <n v="84.194000000000003"/>
  </r>
  <r>
    <s v="Garrison VBC"/>
    <x v="1"/>
    <s v="$10 off Garrison Brothers_x000a_Pcodes: 381805, 382105, 382405, 383905"/>
    <x v="6"/>
    <n v="895.16"/>
    <n v="1.77E-2"/>
    <n v="11"/>
    <n v="110"/>
    <n v="81.378181818181815"/>
  </r>
  <r>
    <s v="Bonterra VBC"/>
    <x v="6"/>
    <s v="$5 off Bonterra Wine_x000a_Pcodes: 315205, 315905, 319005"/>
    <x v="6"/>
    <n v="2592.4299999999998"/>
    <n v="0.1507"/>
    <n v="45"/>
    <n v="225"/>
    <n v="57.609555555555552"/>
  </r>
  <r>
    <s v="Pinhook VBC"/>
    <x v="1"/>
    <s v="$10 off Pinhook Bourbon_x000a_Pcodes: 745005"/>
    <x v="6"/>
    <n v="1766.34"/>
    <n v="0.16819999999999999"/>
    <n v="35"/>
    <n v="350"/>
    <n v="50.466857142857144"/>
  </r>
  <r>
    <s v="Kentucky 10 VBC"/>
    <x v="1"/>
    <s v="$5 off Kentucky 10 Bourbon_x000a_Pcodes: 269005"/>
    <x v="7"/>
    <n v="1176.99"/>
    <n v="0.25719999999999998"/>
    <n v="16"/>
    <n v="80"/>
    <n v="73.561875000000001"/>
  </r>
  <r>
    <s v="Ballotin VBC"/>
    <x v="3"/>
    <s v="$10 off Ballotin_x000a_Pcodes: 975905, 976005, 976905, 977005, 977205, 977305, 977505, 977605"/>
    <x v="7"/>
    <n v="1354.69"/>
    <n v="0.23749999999999999"/>
    <n v="21"/>
    <n v="210"/>
    <n v="64.509047619047621"/>
  </r>
  <r>
    <s v="Mijenta VBC"/>
    <x v="5"/>
    <s v="$10 off Mijenta_x000a_Pcodes: 620505, 620705"/>
    <x v="7"/>
    <n v="1034.3399999999999"/>
    <n v="0.214"/>
    <n v="15"/>
    <n v="150"/>
    <n v="68.955999999999989"/>
  </r>
  <r>
    <s v="Midnight Moon VBC"/>
    <x v="7"/>
    <s v="$5 off Midnight Moon_x000a_Pcodes: 489505"/>
    <x v="7"/>
    <n v="401.23"/>
    <n v="7.7100000000000002E-2"/>
    <n v="7"/>
    <n v="35"/>
    <n v="57.318571428571431"/>
  </r>
  <r>
    <s v="Jager VBC"/>
    <x v="7"/>
    <s v="$2 off Jager_x000a_Pcodes: 489610, 489605"/>
    <x v="7"/>
    <n v="290.85000000000002"/>
    <n v="0.2321"/>
    <n v="3"/>
    <n v="6"/>
    <n v="96.95"/>
  </r>
  <r>
    <s v="George Remus VBC"/>
    <x v="1"/>
    <s v="$10 off George Remus Bourbon_x000a_Pcode: 468205"/>
    <x v="8"/>
    <n v="6782.69"/>
    <n v="0.3115"/>
    <n v="68"/>
    <n v="690"/>
    <n v="99.745441176470578"/>
  </r>
  <r>
    <s v="Dulce Vida VBC"/>
    <x v="5"/>
    <s v="$5 off Dulce Vida Tequila_x000a_Pcodes: 116705, 119405"/>
    <x v="8"/>
    <n v="298.58999999999997"/>
    <n v="9.2999999999999999E-2"/>
    <n v="6"/>
    <n v="30"/>
    <n v="49.764999999999993"/>
  </r>
  <r>
    <s v="Coconut Cartel VBC"/>
    <x v="0"/>
    <s v="$5 off Coconut Cartel Rum_x000a_Pcode: 855905"/>
    <x v="8"/>
    <n v="813.68"/>
    <n v="0.16300000000000001"/>
    <n v="12"/>
    <n v="60"/>
    <n v="67.806666666666658"/>
  </r>
  <r>
    <s v="Old Forester + Jack Dan VBC"/>
    <x v="3"/>
    <s v="$5 off Old Forester &amp; Jack Daniels_x000a_Pcodes:  689605, 689205, 690305, 655405, 655505, 476306, 476406, 476906"/>
    <x v="8"/>
    <n v="4401.63"/>
    <n v="9.4E-2"/>
    <n v="39"/>
    <n v="240"/>
    <n v="112.86230769230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oconut Cartel VBC"/>
    <s v="Rum"/>
    <s v="$5 off Coconut Cartel Rum 750mL_x000a_Pcodes: 855905"/>
    <x v="0"/>
    <n v="604.82000000000005"/>
    <n v="15"/>
    <n v="80.989999999999995"/>
    <n v="20"/>
    <n v="508.83000000000004"/>
    <n v="4"/>
    <n v="151.20500000000001"/>
    <n v="147.45500000000001"/>
    <n v="127.20750000000001"/>
    <n v="23.997500000000002"/>
    <n v="20.247500000000002"/>
    <n v="151.20500000000001"/>
  </r>
  <r>
    <s v="Keeper's Heart VBC"/>
    <s v="Bourbon"/>
    <s v="$5 off Keeper's Heart 750mL_x000a_"/>
    <x v="1"/>
    <n v="493.82"/>
    <n v="20"/>
    <n v="92"/>
    <n v="20"/>
    <n v="381.82"/>
    <n v="4"/>
    <n v="123.455"/>
    <n v="118.455"/>
    <n v="95.454999999999998"/>
    <n v="28"/>
    <n v="23"/>
    <n v="123.455"/>
  </r>
  <r>
    <s v="Barr Hill VBC"/>
    <s v="Gin"/>
    <s v="$10 off Barr Hill Gin 750mL_x000a_"/>
    <x v="2"/>
    <n v="2390.9"/>
    <n v="64.599999999999994"/>
    <n v="441.96"/>
    <n v="230"/>
    <n v="1884.3400000000001"/>
    <n v="23"/>
    <n v="103.95217391304348"/>
    <n v="101.14347826086957"/>
    <n v="81.927826086956529"/>
    <n v="22.024347826086952"/>
    <n v="19.215652173913043"/>
    <n v="103.95217391304348"/>
  </r>
  <r>
    <s v="Whistlepig VBC"/>
    <s v="Whiskey"/>
    <s v="$10 off Whistlepig Whiskey 750mL_x000a_"/>
    <x v="2"/>
    <n v="3261.98"/>
    <n v="134.9"/>
    <n v="518.64"/>
    <n v="380"/>
    <n v="2608.44"/>
    <n v="38"/>
    <n v="85.841578947368419"/>
    <n v="82.291578947368421"/>
    <n v="68.643157894736845"/>
    <n v="17.198421052631574"/>
    <n v="13.648421052631576"/>
    <n v="85.841578947368419"/>
  </r>
  <r>
    <s v="Bombora VBC"/>
    <s v="Vodka"/>
    <s v="$5 off Bombora Vodka 750mL_x000a_"/>
    <x v="2"/>
    <n v="568.02"/>
    <n v="58.4"/>
    <n v="99.5"/>
    <n v="50"/>
    <n v="410.12"/>
    <n v="10"/>
    <n v="56.802"/>
    <n v="50.962000000000003"/>
    <n v="41.012"/>
    <n v="15.79"/>
    <n v="9.9500000000000028"/>
    <n v="56.802"/>
  </r>
  <r>
    <s v="Azteca Azul VBC"/>
    <s v="Tequila"/>
    <s v="$5 off Azteca Azul Tequila 750mL_x000a_"/>
    <x v="2"/>
    <n v="192.91"/>
    <n v="2"/>
    <n v="34"/>
    <n v="20"/>
    <n v="156.91"/>
    <n v="4"/>
    <n v="48.227499999999999"/>
    <n v="47.727499999999999"/>
    <n v="39.227499999999999"/>
    <n v="9"/>
    <n v="8.5"/>
    <n v="48.227499999999999"/>
  </r>
  <r>
    <s v="El Mayor VBC"/>
    <s v="Tequila"/>
    <s v="$8 off El Mayor Tequila 750mL_x000a_"/>
    <x v="3"/>
    <n v="875.56"/>
    <n v="13"/>
    <n v="254.95"/>
    <n v="144"/>
    <n v="607.6099999999999"/>
    <n v="18"/>
    <n v="48.642222222222216"/>
    <n v="47.919999999999995"/>
    <n v="33.756111111111103"/>
    <n v="14.886111111111113"/>
    <n v="14.163888888888891"/>
    <n v="48.642222222222216"/>
  </r>
  <r>
    <s v="Rivi VBC"/>
    <s v="Gin"/>
    <s v="$5 off Rivi Gin 750mL_x000a_"/>
    <x v="3"/>
    <n v="151.91"/>
    <n v="2"/>
    <n v="22"/>
    <n v="10"/>
    <n v="127.91"/>
    <n v="2"/>
    <n v="75.954999999999998"/>
    <n v="74.954999999999998"/>
    <n v="63.954999999999998"/>
    <n v="12"/>
    <n v="11"/>
    <n v="75.954999999999998"/>
  </r>
  <r>
    <s v="El Mayor VBC"/>
    <s v="Tequila"/>
    <s v="$8 off El Mayor Tequila _x000a_Pcodes: 301805, 301905"/>
    <x v="4"/>
    <n v="676.72"/>
    <n v="19.5"/>
    <n v="137.19"/>
    <n v="88"/>
    <n v="520.03"/>
    <n v="11"/>
    <n v="61.52"/>
    <n v="59.74727272727273"/>
    <n v="47.275454545454544"/>
    <n v="14.24454545454546"/>
    <n v="12.471818181818186"/>
    <n v="61.52"/>
  </r>
  <r>
    <s v="Ballotin VBC"/>
    <s v="Whiskey"/>
    <s v="$5 off Ballotin Chocolate Whiskey _x000a_Pcodes: 975905, 976005, 976905, 977005, 977205, 977305, 977505, 977605"/>
    <x v="4"/>
    <n v="699.1"/>
    <n v="38.5"/>
    <n v="131.46"/>
    <n v="30"/>
    <n v="529.14"/>
    <n v="6"/>
    <n v="116.51666666666667"/>
    <n v="110.10000000000001"/>
    <n v="88.19"/>
    <n v="28.326666666666668"/>
    <n v="21.910000000000011"/>
    <n v="116.51666666666667"/>
  </r>
  <r>
    <s v="Redwood Empire VBC"/>
    <s v="Bourbon"/>
    <s v="$5 off Redwood Empire_x000a_Pcodes: 719305, 719005 &amp; 718905"/>
    <x v="5"/>
    <n v="2403.6799999999998"/>
    <n v="292.43"/>
    <n v="330.94"/>
    <n v="130"/>
    <n v="1780.31"/>
    <n v="26"/>
    <n v="92.449230769230766"/>
    <n v="81.20192307692308"/>
    <n v="68.473461538461535"/>
    <n v="23.975769230769231"/>
    <n v="12.728461538461545"/>
    <n v="92.449230769230766"/>
  </r>
  <r>
    <s v="Ammunition VBC"/>
    <s v="Bourbon"/>
    <s v="$10 off Ammunition Bourbon_x000a_Pcodes: 269005"/>
    <x v="6"/>
    <n v="2214.4299999999998"/>
    <n v="45"/>
    <n v="589.91999999999996"/>
    <n v="210"/>
    <n v="1579.5099999999998"/>
    <n v="21"/>
    <n v="105.4490476190476"/>
    <n v="103.30619047619047"/>
    <n v="75.2147619047619"/>
    <n v="30.234285714285704"/>
    <n v="28.091428571428565"/>
    <n v="105.4490476190476"/>
  </r>
  <r>
    <s v="Garrison VBC"/>
    <s v="Bourbon"/>
    <s v="$10 off Garrison Brothers_x000a_Pcodes: 381805, 382105, 382405, 383905"/>
    <x v="6"/>
    <n v="696.91"/>
    <n v="37"/>
    <n v="95"/>
    <n v="60"/>
    <n v="564.91"/>
    <n v="6"/>
    <n v="116.15166666666666"/>
    <n v="109.985"/>
    <n v="94.151666666666657"/>
    <n v="22"/>
    <n v="15.833333333333343"/>
    <n v="116.15166666666666"/>
  </r>
  <r>
    <s v="Bonterra VBC"/>
    <s v="Wine"/>
    <s v="$5 off Bonterra Wine_x000a_Pcodes: 315205, 315905, 319005"/>
    <x v="6"/>
    <n v="1768.56"/>
    <n v="94.95"/>
    <n v="267.99"/>
    <n v="130"/>
    <n v="1405.62"/>
    <n v="26"/>
    <n v="68.021538461538455"/>
    <n v="64.369615384615386"/>
    <n v="54.062307692307691"/>
    <n v="13.959230769230764"/>
    <n v="10.307307692307695"/>
    <n v="68.021538461538455"/>
  </r>
  <r>
    <s v="Pinhook VBC"/>
    <s v="Bourbon"/>
    <s v="$10 off Pinhook Bourbon_x000a_Pcodes: 745005"/>
    <x v="6"/>
    <n v="1785.5"/>
    <n v="48"/>
    <n v="488.94"/>
    <n v="220"/>
    <n v="1248.56"/>
    <n v="22"/>
    <n v="81.159090909090907"/>
    <n v="78.977272727272734"/>
    <n v="56.75272727272727"/>
    <n v="24.406363636363636"/>
    <n v="22.224545454545463"/>
    <n v="81.159090909090907"/>
  </r>
  <r>
    <s v="Kentucky 10 VBC"/>
    <s v="Bourbon"/>
    <s v="$5 off Kentucky 10 Bourbon_x000a_Pcodes: 269005"/>
    <x v="7"/>
    <n v="85.98"/>
    <n v="4"/>
    <n v="5"/>
    <n v="5"/>
    <n v="76.98"/>
    <n v="1"/>
    <n v="85.98"/>
    <n v="81.98"/>
    <n v="76.98"/>
    <n v="9"/>
    <n v="5"/>
    <n v="85.98"/>
  </r>
  <r>
    <s v="Ballotin VBC"/>
    <s v="Whiskey"/>
    <s v="$10 off Ballotin_x000a_Pcodes: 975905, 976005, 976905, 977005, 977205, 977305, 977505, 977605"/>
    <x v="7"/>
    <n v="826.61"/>
    <n v="38"/>
    <n v="84"/>
    <n v="80"/>
    <n v="704.61"/>
    <n v="8"/>
    <n v="103.32625"/>
    <n v="98.576250000000002"/>
    <n v="88.076250000000002"/>
    <n v="15.25"/>
    <n v="10.5"/>
    <n v="103.32625"/>
  </r>
  <r>
    <s v="Mijenta VBC"/>
    <s v="Tequila"/>
    <s v="$10 off Mijenta_x000a_Pcodes: 620505, 620705"/>
    <x v="7"/>
    <n v="441.39"/>
    <n v="21.5"/>
    <n v="70"/>
    <n v="60"/>
    <n v="349.89"/>
    <n v="6"/>
    <n v="73.564999999999998"/>
    <n v="69.981666666666669"/>
    <n v="58.314999999999998"/>
    <n v="15.25"/>
    <n v="11.666666666666671"/>
    <n v="73.564999999999998"/>
  </r>
  <r>
    <s v="Midnight Moon VBC"/>
    <s v="Liqueur"/>
    <s v="$5 off Midnight Moon_x000a_Pcodes: 489505"/>
    <x v="7"/>
    <n v="1141.49"/>
    <n v="73.8"/>
    <n v="147.99"/>
    <n v="65"/>
    <n v="919.7"/>
    <n v="13"/>
    <n v="87.806923076923084"/>
    <n v="82.13000000000001"/>
    <n v="70.746153846153845"/>
    <n v="17.060769230769239"/>
    <n v="11.383846153846164"/>
    <n v="87.806923076923084"/>
  </r>
  <r>
    <s v="Jager VBC"/>
    <s v="Liqueur"/>
    <s v="$2 off Jager_x000a_Pcodes: 489610, 489605"/>
    <x v="7"/>
    <n v="141.91999999999999"/>
    <n v="15"/>
    <n v="2"/>
    <n v="2"/>
    <n v="124.91999999999999"/>
    <n v="1"/>
    <n v="141.91999999999999"/>
    <n v="126.91999999999999"/>
    <n v="124.91999999999999"/>
    <n v="17"/>
    <n v="2"/>
    <n v="141.91999999999999"/>
  </r>
  <r>
    <s v="George Remus VBC"/>
    <s v="Bourbon"/>
    <s v="$10 off George Remus Bourbon_x000a_Pcode: 468205"/>
    <x v="8"/>
    <n v="1077.7"/>
    <n v="11"/>
    <n v="232.99"/>
    <n v="160"/>
    <n v="833.71"/>
    <n v="16"/>
    <n v="67.356250000000003"/>
    <n v="66.668750000000003"/>
    <n v="52.106875000000002"/>
    <n v="15.249375000000001"/>
    <n v="14.561875000000001"/>
    <n v="67.356250000000003"/>
  </r>
  <r>
    <s v="Dulce Vida VBC"/>
    <s v="Tequila"/>
    <s v="$5 off Dulce Vida Tequila_x000a_Pcodes: 116705, 119405"/>
    <x v="8"/>
    <n v="345.35"/>
    <n v="39.5"/>
    <n v="56.99"/>
    <n v="35"/>
    <n v="248.86"/>
    <n v="7"/>
    <n v="49.335714285714289"/>
    <n v="43.692857142857143"/>
    <n v="35.551428571428573"/>
    <n v="13.784285714285716"/>
    <n v="8.1414285714285697"/>
    <n v="49.335714285714289"/>
  </r>
  <r>
    <s v="Coconut Cartel VBC"/>
    <s v="Rum"/>
    <s v="$5 off Coconut Cartel Rum_x000a_Pcode: 855905"/>
    <x v="8"/>
    <n v="217.9"/>
    <n v="11"/>
    <n v="17.989999999999998"/>
    <n v="10"/>
    <n v="188.91"/>
    <n v="2"/>
    <n v="108.95"/>
    <n v="103.45"/>
    <n v="94.454999999999998"/>
    <n v="14.495000000000005"/>
    <n v="8.9950000000000045"/>
    <n v="108.95"/>
  </r>
  <r>
    <s v="Old Forester + Jack Dan VBC"/>
    <s v="Whiskey"/>
    <s v="$5 off Old Forester &amp; Jack Daniels_x000a_Pcodes:  689605, 689205, 690305, 655405, 655505, 476306, 476406, 476906"/>
    <x v="8"/>
    <n v="2603.34"/>
    <n v="78"/>
    <n v="377.94"/>
    <n v="130"/>
    <n v="2147.4"/>
    <n v="26"/>
    <n v="100.12846153846155"/>
    <n v="97.128461538461551"/>
    <n v="82.592307692307699"/>
    <n v="17.536153846153852"/>
    <n v="14.536153846153852"/>
    <n v="100.128461538461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Coconut Cartel VBC"/>
    <x v="0"/>
    <s v="$5 off Coconut Cartel Rum 750mL_x000a_Pcodes: 855905"/>
    <s v="1/29-2/25"/>
    <n v="604.82000000000005"/>
    <n v="15"/>
    <n v="80.989999999999995"/>
    <n v="20"/>
    <n v="508.83000000000004"/>
    <n v="4"/>
    <n v="151.20500000000001"/>
    <n v="147.45500000000001"/>
    <n v="127.20750000000001"/>
    <n v="23.997500000000002"/>
    <n v="20.247500000000002"/>
    <n v="151.20500000000001"/>
  </r>
  <r>
    <s v="Keeper's Heart VBC"/>
    <x v="1"/>
    <s v="$5 off Keeper's Heart 750mL_x000a_"/>
    <s v="2/26-4/1"/>
    <n v="493.82"/>
    <n v="20"/>
    <n v="92"/>
    <n v="20"/>
    <n v="381.82"/>
    <n v="4"/>
    <n v="123.455"/>
    <n v="118.455"/>
    <n v="95.454999999999998"/>
    <n v="28"/>
    <n v="23"/>
    <n v="123.455"/>
  </r>
  <r>
    <s v="Barr Hill VBC"/>
    <x v="2"/>
    <s v="$10 off Barr Hill Gin 750mL_x000a_"/>
    <s v="4/2-4/29"/>
    <n v="2390.9"/>
    <n v="64.599999999999994"/>
    <n v="441.96"/>
    <n v="230"/>
    <n v="1884.3400000000001"/>
    <n v="23"/>
    <n v="103.95217391304348"/>
    <n v="101.14347826086957"/>
    <n v="81.927826086956529"/>
    <n v="22.024347826086952"/>
    <n v="19.215652173913043"/>
    <n v="103.95217391304348"/>
  </r>
  <r>
    <s v="Whistlepig VBC"/>
    <x v="3"/>
    <s v="$10 off Whistlepig Whiskey 750mL_x000a_"/>
    <s v="4/2-4/29"/>
    <n v="3261.98"/>
    <n v="134.9"/>
    <n v="518.64"/>
    <n v="380"/>
    <n v="2608.44"/>
    <n v="38"/>
    <n v="85.841578947368419"/>
    <n v="82.291578947368421"/>
    <n v="68.643157894736845"/>
    <n v="17.198421052631574"/>
    <n v="13.648421052631576"/>
    <n v="85.841578947368419"/>
  </r>
  <r>
    <s v="Bombora VBC"/>
    <x v="4"/>
    <s v="$5 off Bombora Vodka 750mL_x000a_"/>
    <s v="4/2-4/29"/>
    <n v="568.02"/>
    <n v="58.4"/>
    <n v="99.5"/>
    <n v="50"/>
    <n v="410.12"/>
    <n v="10"/>
    <n v="56.802"/>
    <n v="50.962000000000003"/>
    <n v="41.012"/>
    <n v="15.79"/>
    <n v="9.9500000000000028"/>
    <n v="56.802"/>
  </r>
  <r>
    <s v="Azteca Azul VBC"/>
    <x v="5"/>
    <s v="$5 off Azteca Azul Tequila 750mL_x000a_"/>
    <s v="4/2-4/29"/>
    <n v="192.91"/>
    <n v="2"/>
    <n v="34"/>
    <n v="20"/>
    <n v="156.91"/>
    <n v="4"/>
    <n v="48.227499999999999"/>
    <n v="47.727499999999999"/>
    <n v="39.227499999999999"/>
    <n v="9"/>
    <n v="8.5"/>
    <n v="48.227499999999999"/>
  </r>
  <r>
    <s v="El Mayor VBC"/>
    <x v="5"/>
    <s v="$8 off El Mayor Tequila 750mL_x000a_"/>
    <s v="4/30-5/29"/>
    <n v="875.56"/>
    <n v="13"/>
    <n v="254.95"/>
    <n v="144"/>
    <n v="607.6099999999999"/>
    <n v="18"/>
    <n v="48.642222222222216"/>
    <n v="47.919999999999995"/>
    <n v="33.756111111111103"/>
    <n v="14.886111111111113"/>
    <n v="14.163888888888891"/>
    <n v="48.642222222222216"/>
  </r>
  <r>
    <s v="Rivi VBC"/>
    <x v="2"/>
    <s v="$5 off Rivi Gin 750mL_x000a_"/>
    <s v="4/30-5/29"/>
    <n v="151.91"/>
    <n v="2"/>
    <n v="22"/>
    <n v="10"/>
    <n v="127.91"/>
    <n v="2"/>
    <n v="75.954999999999998"/>
    <n v="74.954999999999998"/>
    <n v="63.954999999999998"/>
    <n v="12"/>
    <n v="11"/>
    <n v="75.954999999999998"/>
  </r>
  <r>
    <s v="El Mayor VBC"/>
    <x v="5"/>
    <s v="$8 off El Mayor Tequila _x000a_Pcodes: 301805, 301905"/>
    <s v="6/25-7/29"/>
    <n v="676.72"/>
    <n v="19.5"/>
    <n v="137.19"/>
    <n v="88"/>
    <n v="520.03"/>
    <n v="11"/>
    <n v="61.52"/>
    <n v="59.74727272727273"/>
    <n v="47.275454545454544"/>
    <n v="14.24454545454546"/>
    <n v="12.471818181818186"/>
    <n v="61.52"/>
  </r>
  <r>
    <s v="Ballotin VBC"/>
    <x v="3"/>
    <s v="$5 off Ballotin Chocolate Whiskey _x000a_Pcodes: 975905, 976005, 976905, 977005, 977205, 977305, 977505, 977605"/>
    <s v="6/25-7/29"/>
    <n v="699.1"/>
    <n v="38.5"/>
    <n v="131.46"/>
    <n v="30"/>
    <n v="529.14"/>
    <n v="6"/>
    <n v="116.51666666666667"/>
    <n v="110.10000000000001"/>
    <n v="88.19"/>
    <n v="28.326666666666668"/>
    <n v="21.910000000000011"/>
    <n v="116.51666666666667"/>
  </r>
  <r>
    <s v="Redwood Empire VBC"/>
    <x v="1"/>
    <s v="$5 off Redwood Empire_x000a_Pcodes: 719305, 719005 &amp; 718905"/>
    <s v="7/30-8/26"/>
    <n v="2403.6799999999998"/>
    <n v="292.43"/>
    <n v="330.94"/>
    <n v="130"/>
    <n v="1780.31"/>
    <n v="26"/>
    <n v="92.449230769230766"/>
    <n v="81.20192307692308"/>
    <n v="68.473461538461535"/>
    <n v="23.975769230769231"/>
    <n v="12.728461538461545"/>
    <n v="92.449230769230766"/>
  </r>
  <r>
    <s v="Ammunition VBC"/>
    <x v="1"/>
    <s v="$10 off Ammunition Bourbon_x000a_Pcodes: 269005"/>
    <s v="8/27-9/30"/>
    <n v="2214.4299999999998"/>
    <n v="45"/>
    <n v="589.91999999999996"/>
    <n v="210"/>
    <n v="1579.5099999999998"/>
    <n v="21"/>
    <n v="105.4490476190476"/>
    <n v="103.30619047619047"/>
    <n v="75.2147619047619"/>
    <n v="30.234285714285704"/>
    <n v="28.091428571428565"/>
    <n v="105.4490476190476"/>
  </r>
  <r>
    <s v="Garrison VBC"/>
    <x v="1"/>
    <s v="$10 off Garrison Brothers_x000a_Pcodes: 381805, 382105, 382405, 383905"/>
    <s v="8/27-9/30"/>
    <n v="696.91"/>
    <n v="37"/>
    <n v="95"/>
    <n v="60"/>
    <n v="564.91"/>
    <n v="6"/>
    <n v="116.15166666666666"/>
    <n v="109.985"/>
    <n v="94.151666666666657"/>
    <n v="22"/>
    <n v="15.833333333333343"/>
    <n v="116.15166666666666"/>
  </r>
  <r>
    <s v="Bonterra VBC"/>
    <x v="6"/>
    <s v="$5 off Bonterra Wine_x000a_Pcodes: 315205, 315905, 319005"/>
    <s v="8/27-9/30"/>
    <n v="1768.56"/>
    <n v="94.95"/>
    <n v="267.99"/>
    <n v="130"/>
    <n v="1405.62"/>
    <n v="26"/>
    <n v="68.021538461538455"/>
    <n v="64.369615384615386"/>
    <n v="54.062307692307691"/>
    <n v="13.959230769230764"/>
    <n v="10.307307692307695"/>
    <n v="68.021538461538455"/>
  </r>
  <r>
    <s v="Pinhook VBC"/>
    <x v="1"/>
    <s v="$10 off Pinhook Bourbon_x000a_Pcodes: 745005"/>
    <s v="8/27-9/30"/>
    <n v="1785.5"/>
    <n v="48"/>
    <n v="488.94"/>
    <n v="220"/>
    <n v="1248.56"/>
    <n v="22"/>
    <n v="81.159090909090907"/>
    <n v="78.977272727272734"/>
    <n v="56.75272727272727"/>
    <n v="24.406363636363636"/>
    <n v="22.224545454545463"/>
    <n v="81.159090909090907"/>
  </r>
  <r>
    <s v="Kentucky 10 VBC"/>
    <x v="1"/>
    <s v="$5 off Kentucky 10 Bourbon_x000a_Pcodes: 269005"/>
    <s v="10/1-10/28"/>
    <n v="85.98"/>
    <n v="4"/>
    <n v="5"/>
    <n v="5"/>
    <n v="76.98"/>
    <n v="1"/>
    <n v="85.98"/>
    <n v="81.98"/>
    <n v="76.98"/>
    <n v="9"/>
    <n v="5"/>
    <n v="85.98"/>
  </r>
  <r>
    <s v="Ballotin VBC"/>
    <x v="3"/>
    <s v="$10 off Ballotin_x000a_Pcodes: 975905, 976005, 976905, 977005, 977205, 977305, 977505, 977605"/>
    <s v="10/1-10/28"/>
    <n v="826.61"/>
    <n v="38"/>
    <n v="84"/>
    <n v="80"/>
    <n v="704.61"/>
    <n v="8"/>
    <n v="103.32625"/>
    <n v="98.576250000000002"/>
    <n v="88.076250000000002"/>
    <n v="15.25"/>
    <n v="10.5"/>
    <n v="103.32625"/>
  </r>
  <r>
    <s v="Mijenta VBC"/>
    <x v="5"/>
    <s v="$10 off Mijenta_x000a_Pcodes: 620505, 620705"/>
    <s v="10/1-10/28"/>
    <n v="441.39"/>
    <n v="21.5"/>
    <n v="70"/>
    <n v="60"/>
    <n v="349.89"/>
    <n v="6"/>
    <n v="73.564999999999998"/>
    <n v="69.981666666666669"/>
    <n v="58.314999999999998"/>
    <n v="15.25"/>
    <n v="11.666666666666671"/>
    <n v="73.564999999999998"/>
  </r>
  <r>
    <s v="Midnight Moon VBC"/>
    <x v="7"/>
    <s v="$5 off Midnight Moon_x000a_Pcodes: 489505"/>
    <s v="10/1-10/28"/>
    <n v="1141.49"/>
    <n v="73.8"/>
    <n v="147.99"/>
    <n v="65"/>
    <n v="919.7"/>
    <n v="13"/>
    <n v="87.806923076923084"/>
    <n v="82.13000000000001"/>
    <n v="70.746153846153845"/>
    <n v="17.060769230769239"/>
    <n v="11.383846153846164"/>
    <n v="87.806923076923084"/>
  </r>
  <r>
    <s v="Jager VBC"/>
    <x v="7"/>
    <s v="$2 off Jager_x000a_Pcodes: 489610, 489605"/>
    <s v="10/1-10/28"/>
    <n v="141.91999999999999"/>
    <n v="15"/>
    <n v="2"/>
    <n v="2"/>
    <n v="124.91999999999999"/>
    <n v="1"/>
    <n v="141.91999999999999"/>
    <n v="126.91999999999999"/>
    <n v="124.91999999999999"/>
    <n v="17"/>
    <n v="2"/>
    <n v="141.91999999999999"/>
  </r>
  <r>
    <s v="George Remus VBC"/>
    <x v="1"/>
    <s v="$10 off George Remus Bourbon_x000a_Pcode: 468205"/>
    <s v="11/26-1/1"/>
    <n v="1077.7"/>
    <n v="11"/>
    <n v="232.99"/>
    <n v="160"/>
    <n v="833.71"/>
    <n v="16"/>
    <n v="67.356250000000003"/>
    <n v="66.668750000000003"/>
    <n v="52.106875000000002"/>
    <n v="15.249375000000001"/>
    <n v="14.561875000000001"/>
    <n v="67.356250000000003"/>
  </r>
  <r>
    <s v="Dulce Vida VBC"/>
    <x v="5"/>
    <s v="$5 off Dulce Vida Tequila_x000a_Pcodes: 116705, 119405"/>
    <s v="11/26-1/1"/>
    <n v="345.35"/>
    <n v="39.5"/>
    <n v="56.99"/>
    <n v="35"/>
    <n v="248.86"/>
    <n v="7"/>
    <n v="49.335714285714289"/>
    <n v="43.692857142857143"/>
    <n v="35.551428571428573"/>
    <n v="13.784285714285716"/>
    <n v="8.1414285714285697"/>
    <n v="49.335714285714289"/>
  </r>
  <r>
    <s v="Coconut Cartel VBC"/>
    <x v="0"/>
    <s v="$5 off Coconut Cartel Rum_x000a_Pcode: 855905"/>
    <s v="11/26-1/1"/>
    <n v="217.9"/>
    <n v="11"/>
    <n v="17.989999999999998"/>
    <n v="10"/>
    <n v="188.91"/>
    <n v="2"/>
    <n v="108.95"/>
    <n v="103.45"/>
    <n v="94.454999999999998"/>
    <n v="14.495000000000005"/>
    <n v="8.9950000000000045"/>
    <n v="108.95"/>
  </r>
  <r>
    <s v="Old Forester + Jack Dan VBC"/>
    <x v="3"/>
    <s v="$5 off Old Forester &amp; Jack Daniels_x000a_Pcodes:  689605, 689205, 690305, 655405, 655505, 476306, 476406, 476906"/>
    <s v="11/26-1/1"/>
    <n v="2603.34"/>
    <n v="78"/>
    <n v="377.94"/>
    <n v="130"/>
    <n v="2147.4"/>
    <n v="26"/>
    <n v="100.12846153846155"/>
    <n v="97.128461538461551"/>
    <n v="82.592307692307699"/>
    <n v="17.536153846153852"/>
    <n v="14.536153846153852"/>
    <n v="100.12846153846155"/>
  </r>
  <r>
    <m/>
    <x v="8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75F19-3A7A-4199-BD26-2130AA1B461E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1:AH40" firstHeaderRow="0" firstDataRow="1" firstDataCol="1"/>
  <pivotFields count="16">
    <pivotField dataField="1" showAll="0"/>
    <pivotField axis="axisRow" showAll="0" sortType="descending">
      <items count="10">
        <item x="1"/>
        <item x="2"/>
        <item x="7"/>
        <item x="0"/>
        <item x="5"/>
        <item x="4"/>
        <item x="3"/>
        <item x="6"/>
        <item h="1" x="8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6"/>
    </i>
    <i>
      <x v="4"/>
    </i>
    <i>
      <x v="7"/>
    </i>
    <i>
      <x v="1"/>
    </i>
    <i>
      <x v="2"/>
    </i>
    <i>
      <x v="5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VBCs" fld="0" subtotal="count" baseField="1" baseItem="0" numFmtId="165"/>
    <dataField name="Average of AOV" fld="15" subtotal="average" baseField="1" baseItem="0" numFmtId="44"/>
    <dataField name="Sum of # of orders" fld="9" baseField="0" baseItem="0" numFmtId="165"/>
    <dataField name="Sum of Full Retail Value" fld="4" baseField="0" baseItem="0"/>
    <dataField name="Sum of Promo Discount (This Promo)" fld="7" baseField="0" baseItem="0"/>
  </dataFields>
  <formats count="13">
    <format dxfId="14">
      <pivotArea outline="0" collapsedLevelsAreSubtotals="1" fieldPosition="0"/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">
      <pivotArea field="1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1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field="1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">
      <pivotArea grandRow="1" outline="0" collapsedLevelsAreSubtotals="1" fieldPosition="0"/>
    </format>
    <format dxfId="2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6B109-ABD2-4BAD-9638-0B4B8BA42BDF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48:AH57" firstHeaderRow="0" firstDataRow="1" firstDataCol="1"/>
  <pivotFields count="9">
    <pivotField dataField="1" showAll="0"/>
    <pivotField axis="axisRow" showAll="0" sortType="descending">
      <items count="9">
        <item x="1"/>
        <item x="2"/>
        <item x="7"/>
        <item x="0"/>
        <item x="5"/>
        <item x="4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numFmtId="164" showAll="0"/>
    <pivotField numFmtId="10" showAll="0"/>
    <pivotField dataField="1" showAll="0"/>
    <pivotField dataField="1" showAll="0"/>
    <pivotField dataField="1" numFmtId="164" showAll="0"/>
  </pivotFields>
  <rowFields count="1">
    <field x="1"/>
  </rowFields>
  <rowItems count="9">
    <i>
      <x/>
    </i>
    <i>
      <x v="6"/>
    </i>
    <i>
      <x v="4"/>
    </i>
    <i>
      <x v="7"/>
    </i>
    <i>
      <x v="1"/>
    </i>
    <i>
      <x v="3"/>
    </i>
    <i>
      <x v="5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VBCs" fld="0" subtotal="count" baseField="1" baseItem="0"/>
    <dataField name="Average of AOV" fld="8" subtotal="average" baseField="1" baseItem="0" numFmtId="164"/>
    <dataField name="Sum of Transactions" fld="6" baseField="0" baseItem="0"/>
    <dataField name="Sum of Promo Sales (Trans Total)" fld="4" baseField="0" baseItem="0" numFmtId="164"/>
    <dataField name="Sum of Total Discount (This Promo)" fld="7" baseField="0" baseItem="0" numFmtId="164"/>
  </dataFields>
  <formats count="4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29">
      <pivotArea field="1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DD2E0-26E8-4201-81F7-C82072204283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31:AM41" firstHeaderRow="0" firstDataRow="1" firstDataCol="1"/>
  <pivotFields count="16">
    <pivotField dataField="1"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8" showAll="0"/>
    <pivotField numFmtId="8" showAll="0"/>
    <pivotField numFmtId="8" showAll="0"/>
    <pivotField numFmtId="8" showAll="0"/>
    <pivotField numFmtId="8" showAll="0"/>
    <pivotField dataField="1" numFmtId="1" showAll="0"/>
    <pivotField numFmtId="8" showAll="0"/>
    <pivotField numFmtId="8" showAll="0"/>
    <pivotField numFmtId="8" showAll="0"/>
    <pivotField numFmtId="8" showAll="0"/>
    <pivotField numFmtId="8" showAll="0"/>
    <pivotField dataField="1" numFmtId="8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VBCs" fld="0" subtotal="count" baseField="3" baseItem="0"/>
    <dataField name="Average of AOV" fld="15" subtotal="average" baseField="3" baseItem="8" numFmtId="164"/>
    <dataField name="Sum of # of orders" fld="9" baseField="0" baseItem="0"/>
  </dataFields>
  <formats count="7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field="3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grandRow="1" outline="0" collapsedLevelsAreSubtotals="1" fieldPosition="0"/>
    </format>
    <format dxfId="35">
      <pivotArea dataOnly="0" labelOnly="1" grandRow="1" outline="0" fieldPosition="0"/>
    </format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A4A09-B175-4B71-A19C-BE0E72A9737F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48:AM58" firstHeaderRow="0" firstDataRow="1" firstDataCol="1"/>
  <pivotFields count="9">
    <pivotField dataField="1"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4" showAll="0"/>
    <pivotField numFmtId="10" showAll="0"/>
    <pivotField dataField="1" showAll="0"/>
    <pivotField showAll="0"/>
    <pivotField dataField="1" numFmtId="164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VBCs" fld="0" subtotal="count" baseField="3" baseItem="0"/>
    <dataField name="Average of AOV" fld="8" subtotal="average" baseField="3" baseItem="0" numFmtId="164"/>
    <dataField name="Sum of Transactions" fld="6" baseField="0" baseItem="0"/>
  </dataFields>
  <formats count="3"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826A-791C-4FFD-99B3-F88B13FBD37B}">
  <dimension ref="A1:AM83"/>
  <sheetViews>
    <sheetView tabSelected="1" topLeftCell="A28" workbookViewId="0">
      <pane xSplit="1" topLeftCell="U1" activePane="topRight" state="frozen"/>
      <selection pane="topRight" activeCell="AF45" sqref="AF45"/>
    </sheetView>
  </sheetViews>
  <sheetFormatPr defaultRowHeight="15" x14ac:dyDescent="0.25"/>
  <cols>
    <col min="1" max="1" width="32.42578125" customWidth="1"/>
    <col min="2" max="2" width="19.28515625" customWidth="1"/>
    <col min="3" max="3" width="18.85546875" customWidth="1"/>
    <col min="4" max="4" width="20.140625" customWidth="1"/>
    <col min="5" max="5" width="18.7109375" customWidth="1"/>
    <col min="6" max="6" width="19.140625" customWidth="1"/>
    <col min="7" max="8" width="16.85546875" customWidth="1"/>
    <col min="9" max="9" width="14.85546875" customWidth="1"/>
    <col min="10" max="10" width="16" customWidth="1"/>
    <col min="11" max="11" width="18.28515625" customWidth="1"/>
    <col min="12" max="12" width="17.42578125" customWidth="1"/>
    <col min="13" max="16" width="15.140625" customWidth="1"/>
    <col min="17" max="20" width="15.5703125" customWidth="1"/>
    <col min="21" max="24" width="15.140625" customWidth="1"/>
    <col min="25" max="25" width="17.140625" customWidth="1"/>
    <col min="27" max="27" width="12" customWidth="1"/>
    <col min="29" max="29" width="11.42578125" customWidth="1"/>
    <col min="33" max="33" width="12" customWidth="1"/>
    <col min="34" max="34" width="10.42578125" customWidth="1"/>
    <col min="36" max="36" width="11.7109375" customWidth="1"/>
  </cols>
  <sheetData>
    <row r="1" spans="1:15" x14ac:dyDescent="0.25">
      <c r="A1" s="58" t="s">
        <v>0</v>
      </c>
    </row>
    <row r="2" spans="1: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O2" s="2" t="s">
        <v>14</v>
      </c>
    </row>
    <row r="3" spans="1:15" ht="72.75" customHeight="1" x14ac:dyDescent="0.25">
      <c r="A3" s="3" t="s">
        <v>15</v>
      </c>
      <c r="B3" s="17" t="s">
        <v>16</v>
      </c>
      <c r="C3" s="17" t="s">
        <v>16</v>
      </c>
      <c r="D3" s="17" t="s">
        <v>16</v>
      </c>
      <c r="E3" s="17" t="s">
        <v>16</v>
      </c>
      <c r="F3" s="17" t="s">
        <v>16</v>
      </c>
      <c r="G3" s="17" t="s">
        <v>16</v>
      </c>
      <c r="H3" s="17" t="s">
        <v>16</v>
      </c>
      <c r="I3" s="17" t="s">
        <v>16</v>
      </c>
      <c r="J3" s="17" t="s">
        <v>16</v>
      </c>
      <c r="K3" s="17" t="s">
        <v>16</v>
      </c>
      <c r="L3" s="17" t="s">
        <v>16</v>
      </c>
      <c r="M3" s="17" t="s">
        <v>16</v>
      </c>
      <c r="O3" s="5"/>
    </row>
    <row r="4" spans="1:15" x14ac:dyDescent="0.25">
      <c r="A4" s="6" t="s">
        <v>17</v>
      </c>
      <c r="B4" s="32" t="s">
        <v>18</v>
      </c>
      <c r="C4" s="32" t="s">
        <v>19</v>
      </c>
      <c r="D4" s="32" t="s">
        <v>20</v>
      </c>
      <c r="E4" s="32" t="s">
        <v>21</v>
      </c>
      <c r="F4" s="32" t="s">
        <v>22</v>
      </c>
      <c r="G4" s="32" t="s">
        <v>23</v>
      </c>
      <c r="H4" s="32" t="s">
        <v>24</v>
      </c>
      <c r="I4" s="32" t="s">
        <v>25</v>
      </c>
      <c r="J4" s="32" t="s">
        <v>26</v>
      </c>
      <c r="K4" s="32" t="s">
        <v>27</v>
      </c>
      <c r="L4" s="32" t="s">
        <v>28</v>
      </c>
      <c r="M4" s="32" t="s">
        <v>29</v>
      </c>
      <c r="O4" s="7"/>
    </row>
    <row r="5" spans="1:15" x14ac:dyDescent="0.25">
      <c r="A5" s="8" t="s">
        <v>30</v>
      </c>
      <c r="B5" s="9">
        <v>11520.21</v>
      </c>
      <c r="C5" s="9">
        <v>10239.82</v>
      </c>
      <c r="D5" s="9">
        <v>14492.52</v>
      </c>
      <c r="E5" s="9">
        <v>12917.99</v>
      </c>
      <c r="F5" s="9">
        <v>11479.23</v>
      </c>
      <c r="G5" s="9">
        <v>9576.14</v>
      </c>
      <c r="H5" s="9">
        <v>10342.370000000001</v>
      </c>
      <c r="I5" s="9">
        <v>19389.580000000002</v>
      </c>
      <c r="J5" s="9">
        <v>17714.169999999998</v>
      </c>
      <c r="K5" s="9">
        <v>11525.01</v>
      </c>
      <c r="L5" s="9">
        <v>10055.700000000001</v>
      </c>
      <c r="M5" s="9">
        <v>15709.3</v>
      </c>
      <c r="O5" s="10">
        <f>SUM(B5:M5)</f>
        <v>154962.03999999998</v>
      </c>
    </row>
    <row r="6" spans="1:15" x14ac:dyDescent="0.25">
      <c r="A6" s="11" t="s">
        <v>31</v>
      </c>
      <c r="B6" s="12">
        <v>559.5</v>
      </c>
      <c r="C6" s="12">
        <v>508.65</v>
      </c>
      <c r="D6" s="12">
        <v>711.35</v>
      </c>
      <c r="E6" s="12">
        <v>715.9</v>
      </c>
      <c r="F6" s="12">
        <v>1046</v>
      </c>
      <c r="G6" s="12">
        <v>313.99</v>
      </c>
      <c r="H6" s="12">
        <v>555.73</v>
      </c>
      <c r="I6" s="12">
        <v>1545.63</v>
      </c>
      <c r="J6" s="12">
        <v>1454.52</v>
      </c>
      <c r="K6" s="12">
        <v>780.15</v>
      </c>
      <c r="L6" s="12">
        <v>711.39</v>
      </c>
      <c r="M6" s="12">
        <v>1128.7</v>
      </c>
      <c r="O6" s="10">
        <f>SUM(B6:M6)</f>
        <v>10031.51</v>
      </c>
    </row>
    <row r="7" spans="1:15" x14ac:dyDescent="0.25">
      <c r="A7" s="11" t="s">
        <v>32</v>
      </c>
      <c r="B7" s="12">
        <v>1558.17</v>
      </c>
      <c r="C7" s="12">
        <v>1641.53</v>
      </c>
      <c r="D7" s="12">
        <v>1959.49</v>
      </c>
      <c r="E7" s="12">
        <v>1831.34</v>
      </c>
      <c r="F7" s="12">
        <v>1782.17</v>
      </c>
      <c r="G7" s="12">
        <v>1423.7</v>
      </c>
      <c r="H7" s="12">
        <v>1786.79</v>
      </c>
      <c r="I7" s="12">
        <v>2920.09</v>
      </c>
      <c r="J7" s="12">
        <v>2923.79</v>
      </c>
      <c r="K7" s="12">
        <v>1812.27</v>
      </c>
      <c r="L7" s="62">
        <v>1653.09</v>
      </c>
      <c r="M7" s="12">
        <v>2339.4299999999998</v>
      </c>
      <c r="O7" s="10">
        <f>SUM(B7:M7)</f>
        <v>23631.860000000004</v>
      </c>
    </row>
    <row r="8" spans="1:15" x14ac:dyDescent="0.25">
      <c r="A8" s="11" t="s">
        <v>33</v>
      </c>
      <c r="B8" s="64">
        <f t="shared" ref="B8:K8" si="0">7*B11</f>
        <v>707</v>
      </c>
      <c r="C8" s="64">
        <f t="shared" si="0"/>
        <v>721</v>
      </c>
      <c r="D8" s="64">
        <f t="shared" si="0"/>
        <v>903</v>
      </c>
      <c r="E8" s="64">
        <f t="shared" si="0"/>
        <v>868</v>
      </c>
      <c r="F8" s="64">
        <f t="shared" si="0"/>
        <v>721</v>
      </c>
      <c r="G8" s="64">
        <f t="shared" si="0"/>
        <v>665</v>
      </c>
      <c r="H8" s="64">
        <f t="shared" si="0"/>
        <v>707</v>
      </c>
      <c r="I8" s="64">
        <f t="shared" si="0"/>
        <v>1428</v>
      </c>
      <c r="J8" s="64">
        <f t="shared" si="0"/>
        <v>1379</v>
      </c>
      <c r="K8" s="64">
        <f t="shared" si="0"/>
        <v>784</v>
      </c>
      <c r="L8" s="64">
        <f>7*L11</f>
        <v>700</v>
      </c>
      <c r="M8" s="63">
        <v>1015</v>
      </c>
      <c r="O8" s="10">
        <f>SUM(B8:M8)</f>
        <v>10598</v>
      </c>
    </row>
    <row r="9" spans="1:15" x14ac:dyDescent="0.25">
      <c r="A9" s="11" t="s">
        <v>34</v>
      </c>
      <c r="B9" s="12">
        <f>B5-B6-B7</f>
        <v>9402.5399999999991</v>
      </c>
      <c r="C9" s="12">
        <f t="shared" ref="C9:F9" si="1">C5-C6-C7</f>
        <v>8089.64</v>
      </c>
      <c r="D9" s="12">
        <f t="shared" si="1"/>
        <v>11821.68</v>
      </c>
      <c r="E9" s="12">
        <f t="shared" si="1"/>
        <v>10370.75</v>
      </c>
      <c r="F9" s="12">
        <f t="shared" si="1"/>
        <v>8651.06</v>
      </c>
      <c r="G9" s="12">
        <f t="shared" ref="G9:H9" si="2">G5-G6-G7</f>
        <v>7838.45</v>
      </c>
      <c r="H9" s="12">
        <f t="shared" si="2"/>
        <v>7999.8500000000013</v>
      </c>
      <c r="I9" s="12">
        <f t="shared" ref="I9:M9" si="3">I5-I6-I7</f>
        <v>14923.86</v>
      </c>
      <c r="J9" s="12">
        <f t="shared" si="3"/>
        <v>13335.859999999997</v>
      </c>
      <c r="K9" s="12">
        <f t="shared" si="3"/>
        <v>8932.59</v>
      </c>
      <c r="L9" s="9">
        <f t="shared" si="3"/>
        <v>7691.2200000000012</v>
      </c>
      <c r="M9" s="12">
        <f t="shared" si="3"/>
        <v>12241.169999999998</v>
      </c>
      <c r="O9" s="10">
        <f>SUM(B9:M9)</f>
        <v>121298.66999999998</v>
      </c>
    </row>
    <row r="10" spans="1:15" ht="6.7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O10" s="14"/>
    </row>
    <row r="11" spans="1:15" x14ac:dyDescent="0.25">
      <c r="A11" s="11" t="s">
        <v>35</v>
      </c>
      <c r="B11" s="20">
        <v>101</v>
      </c>
      <c r="C11" s="20">
        <v>103</v>
      </c>
      <c r="D11" s="20">
        <v>129</v>
      </c>
      <c r="E11" s="20">
        <v>124</v>
      </c>
      <c r="F11" s="20">
        <v>103</v>
      </c>
      <c r="G11" s="20">
        <v>95</v>
      </c>
      <c r="H11" s="20">
        <v>101</v>
      </c>
      <c r="I11" s="20">
        <v>204</v>
      </c>
      <c r="J11" s="20">
        <v>197</v>
      </c>
      <c r="K11" s="20">
        <v>112</v>
      </c>
      <c r="L11" s="20">
        <v>100</v>
      </c>
      <c r="M11" s="20">
        <v>145</v>
      </c>
      <c r="O11" s="34">
        <f>SUM(B11:M11)</f>
        <v>1514</v>
      </c>
    </row>
    <row r="12" spans="1:15" x14ac:dyDescent="0.25">
      <c r="A12" s="11" t="s">
        <v>36</v>
      </c>
      <c r="B12" s="12">
        <f>B5/B11</f>
        <v>114.06148514851485</v>
      </c>
      <c r="C12" s="12">
        <f t="shared" ref="C12:G12" si="4">C5/C11</f>
        <v>99.415728155339806</v>
      </c>
      <c r="D12" s="12">
        <f t="shared" si="4"/>
        <v>112.34511627906977</v>
      </c>
      <c r="E12" s="12">
        <f t="shared" si="4"/>
        <v>104.17733870967741</v>
      </c>
      <c r="F12" s="12">
        <f t="shared" si="4"/>
        <v>111.44883495145631</v>
      </c>
      <c r="G12" s="12">
        <f t="shared" si="4"/>
        <v>100.80147368421052</v>
      </c>
      <c r="H12" s="12">
        <f t="shared" ref="H12" si="5">H5/H11</f>
        <v>102.39970297029704</v>
      </c>
      <c r="I12" s="12">
        <f t="shared" ref="I12" si="6">I5/I11</f>
        <v>95.04696078431374</v>
      </c>
      <c r="J12" s="12">
        <f t="shared" ref="J12" si="7">J5/J11</f>
        <v>89.919644670050758</v>
      </c>
      <c r="K12" s="12">
        <f t="shared" ref="K12" si="8">K5/K11</f>
        <v>102.901875</v>
      </c>
      <c r="L12" s="12">
        <f t="shared" ref="L12:M12" si="9">L5/L11</f>
        <v>100.557</v>
      </c>
      <c r="M12" s="12">
        <f t="shared" si="9"/>
        <v>108.33999999999999</v>
      </c>
      <c r="O12" s="10">
        <f>AVERAGE(B12:M12)</f>
        <v>103.4512633627442</v>
      </c>
    </row>
    <row r="13" spans="1:15" x14ac:dyDescent="0.25">
      <c r="A13" s="11" t="s">
        <v>37</v>
      </c>
      <c r="B13" s="12">
        <f>(B5-B6)/B11</f>
        <v>108.5218811881188</v>
      </c>
      <c r="C13" s="12">
        <f t="shared" ref="C13:D13" si="10">(C5-C6)/C11</f>
        <v>94.477378640776706</v>
      </c>
      <c r="D13" s="12">
        <f t="shared" si="10"/>
        <v>106.83077519379844</v>
      </c>
      <c r="E13" s="12">
        <f t="shared" ref="E13:F13" si="11">(E5-E6)/E11</f>
        <v>98.403951612903228</v>
      </c>
      <c r="F13" s="12">
        <f t="shared" si="11"/>
        <v>101.29349514563107</v>
      </c>
      <c r="G13" s="12">
        <f t="shared" ref="G13:M13" si="12">(G5-G6)/G11</f>
        <v>97.496315789473684</v>
      </c>
      <c r="H13" s="12">
        <f t="shared" si="12"/>
        <v>96.897425742574271</v>
      </c>
      <c r="I13" s="12">
        <f t="shared" si="12"/>
        <v>87.470343137254901</v>
      </c>
      <c r="J13" s="12">
        <f t="shared" si="12"/>
        <v>82.536294416243649</v>
      </c>
      <c r="K13" s="12">
        <f t="shared" si="12"/>
        <v>95.936250000000001</v>
      </c>
      <c r="L13" s="12">
        <f t="shared" si="12"/>
        <v>93.443100000000015</v>
      </c>
      <c r="M13" s="12">
        <f t="shared" si="12"/>
        <v>100.55586206896551</v>
      </c>
      <c r="O13" s="10">
        <f>AVERAGE(B13:M13)</f>
        <v>96.988589411311693</v>
      </c>
    </row>
    <row r="14" spans="1:15" ht="30" x14ac:dyDescent="0.25">
      <c r="A14" s="15" t="s">
        <v>38</v>
      </c>
      <c r="B14" s="12">
        <f>(B5-B6-B7)/B11</f>
        <v>93.09445544554454</v>
      </c>
      <c r="C14" s="12">
        <f t="shared" ref="C14:D14" si="13">(C5-C6-C7)/C11</f>
        <v>78.540194174757289</v>
      </c>
      <c r="D14" s="12">
        <f t="shared" si="13"/>
        <v>91.640930232558148</v>
      </c>
      <c r="E14" s="12">
        <f t="shared" ref="E14:F14" si="14">(E5-E6-E7)/E11</f>
        <v>83.635080645161295</v>
      </c>
      <c r="F14" s="12">
        <f t="shared" si="14"/>
        <v>83.990873786407761</v>
      </c>
      <c r="G14" s="12">
        <f t="shared" ref="G14:M14" si="15">(G5-G6-G7)/G11</f>
        <v>82.51</v>
      </c>
      <c r="H14" s="12">
        <f t="shared" si="15"/>
        <v>79.206435643564376</v>
      </c>
      <c r="I14" s="12">
        <f t="shared" si="15"/>
        <v>73.156176470588235</v>
      </c>
      <c r="J14" s="12">
        <f t="shared" si="15"/>
        <v>67.694720812182723</v>
      </c>
      <c r="K14" s="12">
        <f t="shared" si="15"/>
        <v>79.755267857142854</v>
      </c>
      <c r="L14" s="12">
        <f t="shared" si="15"/>
        <v>76.912200000000013</v>
      </c>
      <c r="M14" s="12">
        <f t="shared" si="15"/>
        <v>84.42186206896551</v>
      </c>
      <c r="O14" s="10">
        <f>AVERAGE(B14:M14)</f>
        <v>81.213183094739392</v>
      </c>
    </row>
    <row r="15" spans="1:15" ht="8.2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O15" s="14"/>
    </row>
    <row r="16" spans="1:15" ht="30" x14ac:dyDescent="0.25">
      <c r="A16" s="15" t="s">
        <v>39</v>
      </c>
      <c r="B16" s="12">
        <f>B12-B14</f>
        <v>20.967029702970308</v>
      </c>
      <c r="C16" s="12">
        <f t="shared" ref="C16:D16" si="16">C12-C14</f>
        <v>20.875533980582517</v>
      </c>
      <c r="D16" s="12">
        <f t="shared" si="16"/>
        <v>20.704186046511623</v>
      </c>
      <c r="E16" s="12">
        <f t="shared" ref="E16:F16" si="17">E12-E14</f>
        <v>20.542258064516119</v>
      </c>
      <c r="F16" s="12">
        <f t="shared" si="17"/>
        <v>27.457961165048545</v>
      </c>
      <c r="G16" s="12">
        <f t="shared" ref="G16:M16" si="18">G12-G14</f>
        <v>18.291473684210516</v>
      </c>
      <c r="H16" s="12">
        <f t="shared" si="18"/>
        <v>23.193267326732666</v>
      </c>
      <c r="I16" s="12">
        <f t="shared" si="18"/>
        <v>21.890784313725504</v>
      </c>
      <c r="J16" s="12">
        <f t="shared" si="18"/>
        <v>22.224923857868035</v>
      </c>
      <c r="K16" s="12">
        <f t="shared" si="18"/>
        <v>23.14660714285715</v>
      </c>
      <c r="L16" s="12">
        <f t="shared" si="18"/>
        <v>23.644799999999989</v>
      </c>
      <c r="M16" s="12">
        <f t="shared" si="18"/>
        <v>23.918137931034479</v>
      </c>
      <c r="O16" s="10">
        <f>AVERAGE(B16:M16)</f>
        <v>22.23808026800479</v>
      </c>
    </row>
    <row r="17" spans="1:39" ht="30" x14ac:dyDescent="0.25">
      <c r="A17" s="15" t="s">
        <v>40</v>
      </c>
      <c r="B17" s="12">
        <f>B13-B14</f>
        <v>15.427425742574258</v>
      </c>
      <c r="C17" s="12">
        <f t="shared" ref="C17:D17" si="19">C13-C14</f>
        <v>15.937184466019417</v>
      </c>
      <c r="D17" s="12">
        <f t="shared" si="19"/>
        <v>15.189844961240297</v>
      </c>
      <c r="E17" s="12">
        <f t="shared" ref="E17:F17" si="20">E13-E14</f>
        <v>14.768870967741933</v>
      </c>
      <c r="F17" s="12">
        <f t="shared" si="20"/>
        <v>17.302621359223309</v>
      </c>
      <c r="G17" s="12">
        <f t="shared" ref="G17:M17" si="21">G13-G14</f>
        <v>14.986315789473679</v>
      </c>
      <c r="H17" s="12">
        <f t="shared" si="21"/>
        <v>17.690990099009895</v>
      </c>
      <c r="I17" s="12">
        <f t="shared" si="21"/>
        <v>14.314166666666665</v>
      </c>
      <c r="J17" s="12">
        <f t="shared" si="21"/>
        <v>14.841573604060926</v>
      </c>
      <c r="K17" s="12">
        <f t="shared" si="21"/>
        <v>16.180982142857147</v>
      </c>
      <c r="L17" s="12">
        <f t="shared" si="21"/>
        <v>16.530900000000003</v>
      </c>
      <c r="M17" s="12">
        <f t="shared" si="21"/>
        <v>16.134</v>
      </c>
      <c r="O17" s="10">
        <f>AVERAGE(B17:M17)</f>
        <v>15.775406316572292</v>
      </c>
    </row>
    <row r="18" spans="1:39" x14ac:dyDescent="0.25">
      <c r="A18" s="59" t="s">
        <v>41</v>
      </c>
      <c r="B18" s="12">
        <f>B5/B11</f>
        <v>114.06148514851485</v>
      </c>
      <c r="C18" s="12">
        <f t="shared" ref="C18:D18" si="22">C5/C11</f>
        <v>99.415728155339806</v>
      </c>
      <c r="D18" s="12">
        <f t="shared" si="22"/>
        <v>112.34511627906977</v>
      </c>
      <c r="E18" s="12">
        <f t="shared" ref="E18:F18" si="23">E5/E11</f>
        <v>104.17733870967741</v>
      </c>
      <c r="F18" s="12">
        <f t="shared" si="23"/>
        <v>111.44883495145631</v>
      </c>
      <c r="G18" s="12">
        <f t="shared" ref="G18:M18" si="24">G5/G11</f>
        <v>100.80147368421052</v>
      </c>
      <c r="H18" s="12">
        <f t="shared" si="24"/>
        <v>102.39970297029704</v>
      </c>
      <c r="I18" s="12">
        <f t="shared" si="24"/>
        <v>95.04696078431374</v>
      </c>
      <c r="J18" s="12">
        <f t="shared" si="24"/>
        <v>89.919644670050758</v>
      </c>
      <c r="K18" s="12">
        <f t="shared" si="24"/>
        <v>102.901875</v>
      </c>
      <c r="L18" s="12">
        <f t="shared" si="24"/>
        <v>100.557</v>
      </c>
      <c r="M18" s="12">
        <f t="shared" si="24"/>
        <v>108.33999999999999</v>
      </c>
      <c r="O18" s="65">
        <f>O5/O11</f>
        <v>102.35273447820342</v>
      </c>
    </row>
    <row r="19" spans="1:39" x14ac:dyDescent="0.25">
      <c r="O19" s="2"/>
    </row>
    <row r="20" spans="1:39" x14ac:dyDescent="0.25">
      <c r="A20" s="22" t="s">
        <v>42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  <c r="J20" s="22" t="s">
        <v>10</v>
      </c>
      <c r="K20" s="22" t="s">
        <v>11</v>
      </c>
      <c r="L20" s="22" t="s">
        <v>12</v>
      </c>
      <c r="M20" s="22" t="s">
        <v>13</v>
      </c>
      <c r="O20" s="5"/>
    </row>
    <row r="21" spans="1:39" ht="69" customHeight="1" x14ac:dyDescent="0.25">
      <c r="A21" s="23" t="s">
        <v>15</v>
      </c>
      <c r="B21" s="24" t="s">
        <v>16</v>
      </c>
      <c r="C21" s="24" t="s">
        <v>16</v>
      </c>
      <c r="D21" s="24" t="s">
        <v>16</v>
      </c>
      <c r="E21" s="24" t="s">
        <v>16</v>
      </c>
      <c r="F21" s="24" t="s">
        <v>16</v>
      </c>
      <c r="G21" s="24" t="s">
        <v>16</v>
      </c>
      <c r="H21" s="24" t="s">
        <v>16</v>
      </c>
      <c r="I21" s="24" t="s">
        <v>16</v>
      </c>
      <c r="J21" s="24" t="s">
        <v>16</v>
      </c>
      <c r="K21" s="24" t="s">
        <v>16</v>
      </c>
      <c r="L21" s="24" t="s">
        <v>16</v>
      </c>
      <c r="M21" s="24" t="s">
        <v>16</v>
      </c>
    </row>
    <row r="22" spans="1:39" x14ac:dyDescent="0.25">
      <c r="A22" s="25" t="s">
        <v>17</v>
      </c>
      <c r="B22" s="33" t="s">
        <v>18</v>
      </c>
      <c r="C22" s="33" t="s">
        <v>19</v>
      </c>
      <c r="D22" s="33" t="s">
        <v>20</v>
      </c>
      <c r="E22" s="33" t="s">
        <v>21</v>
      </c>
      <c r="F22" s="33" t="s">
        <v>22</v>
      </c>
      <c r="G22" s="33" t="s">
        <v>23</v>
      </c>
      <c r="H22" s="33" t="s">
        <v>24</v>
      </c>
      <c r="I22" s="33" t="s">
        <v>25</v>
      </c>
      <c r="J22" s="33" t="s">
        <v>26</v>
      </c>
      <c r="K22" s="33" t="s">
        <v>27</v>
      </c>
      <c r="L22" s="33" t="s">
        <v>28</v>
      </c>
      <c r="M22" s="33" t="s">
        <v>29</v>
      </c>
      <c r="O22" s="7"/>
    </row>
    <row r="23" spans="1:39" x14ac:dyDescent="0.25">
      <c r="A23" s="26" t="s">
        <v>43</v>
      </c>
      <c r="B23" s="27">
        <v>114104.6</v>
      </c>
      <c r="C23" s="27">
        <v>129153.69</v>
      </c>
      <c r="D23" s="27">
        <v>130488.77</v>
      </c>
      <c r="E23" s="27">
        <v>134834.18</v>
      </c>
      <c r="F23" s="27">
        <v>121364.86</v>
      </c>
      <c r="G23" s="27">
        <v>124392.67</v>
      </c>
      <c r="H23" s="27">
        <v>99682.32</v>
      </c>
      <c r="I23" s="27">
        <v>223864.6</v>
      </c>
      <c r="J23" s="27">
        <v>167907.13</v>
      </c>
      <c r="K23" s="27">
        <v>128018.54</v>
      </c>
      <c r="L23" s="27">
        <v>136882.64000000001</v>
      </c>
      <c r="M23" s="27">
        <v>172283.41</v>
      </c>
      <c r="O23" s="16">
        <f>SUM(B23:M23)</f>
        <v>1682977.4100000004</v>
      </c>
    </row>
    <row r="24" spans="1:39" x14ac:dyDescent="0.25">
      <c r="A24" s="28" t="s">
        <v>44</v>
      </c>
      <c r="B24" s="29">
        <v>0.1532</v>
      </c>
      <c r="C24" s="29">
        <v>0.15049999999999999</v>
      </c>
      <c r="D24" s="29">
        <v>0.1555</v>
      </c>
      <c r="E24" s="29">
        <v>0.1381</v>
      </c>
      <c r="F24" s="29">
        <v>0.1298</v>
      </c>
      <c r="G24" s="29">
        <v>0.1323</v>
      </c>
      <c r="H24" s="29">
        <v>0.13270000000000001</v>
      </c>
      <c r="I24" s="29">
        <v>0.1421</v>
      </c>
      <c r="J24" s="29">
        <v>0.1401</v>
      </c>
      <c r="K24" s="29">
        <v>0.1525</v>
      </c>
      <c r="L24" s="29">
        <v>0.1331</v>
      </c>
      <c r="M24" s="29">
        <v>0.13250000000000001</v>
      </c>
      <c r="O24" s="18">
        <f>AVERAGE(B24:M24)</f>
        <v>0.14103333333333332</v>
      </c>
    </row>
    <row r="25" spans="1:39" x14ac:dyDescent="0.25">
      <c r="A25" s="30" t="s">
        <v>45</v>
      </c>
      <c r="B25" s="31">
        <v>1646</v>
      </c>
      <c r="C25" s="31">
        <v>1761</v>
      </c>
      <c r="D25" s="31">
        <v>1796</v>
      </c>
      <c r="E25" s="31">
        <v>1802</v>
      </c>
      <c r="F25" s="31">
        <v>1715</v>
      </c>
      <c r="G25" s="31">
        <v>1662</v>
      </c>
      <c r="H25" s="31">
        <v>1495</v>
      </c>
      <c r="I25" s="31">
        <v>3161</v>
      </c>
      <c r="J25" s="31">
        <v>2547</v>
      </c>
      <c r="K25" s="31">
        <v>1790</v>
      </c>
      <c r="L25" s="53">
        <v>1862</v>
      </c>
      <c r="M25" s="53">
        <v>2229</v>
      </c>
      <c r="O25" s="21">
        <f>SUM(B25:M25)</f>
        <v>23466</v>
      </c>
    </row>
    <row r="26" spans="1:39" x14ac:dyDescent="0.25">
      <c r="A26" s="51" t="s">
        <v>46</v>
      </c>
      <c r="B26" s="61">
        <f t="shared" ref="B26:J26" si="25">7*B25</f>
        <v>11522</v>
      </c>
      <c r="C26" s="61">
        <f t="shared" si="25"/>
        <v>12327</v>
      </c>
      <c r="D26" s="61">
        <f t="shared" si="25"/>
        <v>12572</v>
      </c>
      <c r="E26" s="61">
        <f t="shared" si="25"/>
        <v>12614</v>
      </c>
      <c r="F26" s="61">
        <f t="shared" si="25"/>
        <v>12005</v>
      </c>
      <c r="G26" s="61">
        <f t="shared" si="25"/>
        <v>11634</v>
      </c>
      <c r="H26" s="61">
        <f t="shared" si="25"/>
        <v>10465</v>
      </c>
      <c r="I26" s="61">
        <f t="shared" si="25"/>
        <v>22127</v>
      </c>
      <c r="J26" s="61">
        <f t="shared" si="25"/>
        <v>17829</v>
      </c>
      <c r="K26" s="61">
        <f>7*K25</f>
        <v>12530</v>
      </c>
      <c r="L26" s="61">
        <f>7*L25</f>
        <v>13034</v>
      </c>
      <c r="M26" s="60">
        <v>15603</v>
      </c>
      <c r="O26" s="16">
        <f>SUM(B26:M26)</f>
        <v>164262</v>
      </c>
    </row>
    <row r="27" spans="1:39" x14ac:dyDescent="0.25">
      <c r="A27" s="51" t="s">
        <v>41</v>
      </c>
      <c r="B27" s="27">
        <f>B23/B25</f>
        <v>69.322357229647636</v>
      </c>
      <c r="C27" s="27">
        <f>C23/C25</f>
        <v>73.341107325383305</v>
      </c>
      <c r="D27" s="27">
        <f t="shared" ref="D27:M27" si="26">D23/D25</f>
        <v>72.655217149220491</v>
      </c>
      <c r="E27" s="27">
        <f t="shared" si="26"/>
        <v>74.824739178690336</v>
      </c>
      <c r="F27" s="27">
        <f t="shared" si="26"/>
        <v>70.766682215743444</v>
      </c>
      <c r="G27" s="27">
        <f t="shared" si="26"/>
        <v>74.845168471720811</v>
      </c>
      <c r="H27" s="27">
        <f t="shared" si="26"/>
        <v>66.677137123745823</v>
      </c>
      <c r="I27" s="27">
        <f t="shared" si="26"/>
        <v>70.82081619740589</v>
      </c>
      <c r="J27" s="27">
        <f t="shared" si="26"/>
        <v>65.923490380840207</v>
      </c>
      <c r="K27" s="27">
        <f t="shared" si="26"/>
        <v>71.51873743016759</v>
      </c>
      <c r="L27" s="40">
        <f t="shared" si="26"/>
        <v>73.513770139634815</v>
      </c>
      <c r="M27" s="27">
        <f t="shared" si="26"/>
        <v>77.291794526693593</v>
      </c>
      <c r="O27" s="65">
        <f>O23/O25</f>
        <v>71.719824852978789</v>
      </c>
    </row>
    <row r="29" spans="1:39" x14ac:dyDescent="0.25">
      <c r="A29" s="58" t="s">
        <v>47</v>
      </c>
    </row>
    <row r="30" spans="1:39" x14ac:dyDescent="0.25">
      <c r="A30" s="1" t="s">
        <v>1</v>
      </c>
      <c r="B30" s="1" t="s">
        <v>48</v>
      </c>
      <c r="C30" s="1" t="s">
        <v>49</v>
      </c>
      <c r="D30" s="1" t="s">
        <v>50</v>
      </c>
      <c r="E30" s="1" t="s">
        <v>51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56</v>
      </c>
      <c r="K30" s="1" t="s">
        <v>57</v>
      </c>
      <c r="L30" s="1" t="s">
        <v>58</v>
      </c>
      <c r="M30" s="1" t="s">
        <v>59</v>
      </c>
      <c r="N30" s="1" t="s">
        <v>60</v>
      </c>
      <c r="O30" s="1" t="s">
        <v>61</v>
      </c>
      <c r="P30" s="1" t="s">
        <v>62</v>
      </c>
      <c r="Q30" s="1" t="s">
        <v>63</v>
      </c>
      <c r="R30" s="1" t="s">
        <v>57</v>
      </c>
      <c r="S30" s="1" t="s">
        <v>64</v>
      </c>
      <c r="T30" s="1" t="s">
        <v>65</v>
      </c>
      <c r="U30" s="1" t="s">
        <v>66</v>
      </c>
      <c r="V30" s="1" t="s">
        <v>67</v>
      </c>
      <c r="W30" s="1" t="s">
        <v>68</v>
      </c>
      <c r="X30" s="1" t="s">
        <v>48</v>
      </c>
      <c r="Y30" s="1" t="s">
        <v>69</v>
      </c>
      <c r="AA30" s="2" t="s">
        <v>14</v>
      </c>
      <c r="AC30" t="s">
        <v>180</v>
      </c>
    </row>
    <row r="31" spans="1:39" ht="107.25" customHeight="1" x14ac:dyDescent="0.25">
      <c r="A31" s="3" t="s">
        <v>15</v>
      </c>
      <c r="B31" s="17" t="s">
        <v>70</v>
      </c>
      <c r="C31" s="17" t="s">
        <v>71</v>
      </c>
      <c r="D31" s="17" t="s">
        <v>72</v>
      </c>
      <c r="E31" s="17" t="s">
        <v>73</v>
      </c>
      <c r="F31" s="17" t="s">
        <v>74</v>
      </c>
      <c r="G31" s="17" t="s">
        <v>75</v>
      </c>
      <c r="H31" s="17" t="s">
        <v>76</v>
      </c>
      <c r="I31" s="17" t="s">
        <v>77</v>
      </c>
      <c r="J31" s="17" t="s">
        <v>78</v>
      </c>
      <c r="K31" s="17" t="s">
        <v>79</v>
      </c>
      <c r="L31" s="17" t="s">
        <v>80</v>
      </c>
      <c r="M31" s="17" t="s">
        <v>81</v>
      </c>
      <c r="N31" s="17" t="s">
        <v>82</v>
      </c>
      <c r="O31" s="17" t="s">
        <v>83</v>
      </c>
      <c r="P31" s="17" t="s">
        <v>84</v>
      </c>
      <c r="Q31" s="17" t="s">
        <v>85</v>
      </c>
      <c r="R31" s="17" t="s">
        <v>86</v>
      </c>
      <c r="S31" s="17" t="s">
        <v>87</v>
      </c>
      <c r="T31" s="17" t="s">
        <v>88</v>
      </c>
      <c r="U31" s="17" t="s">
        <v>89</v>
      </c>
      <c r="V31" s="17" t="s">
        <v>90</v>
      </c>
      <c r="W31" s="17" t="s">
        <v>91</v>
      </c>
      <c r="X31" s="17" t="s">
        <v>92</v>
      </c>
      <c r="Y31" s="17" t="s">
        <v>93</v>
      </c>
      <c r="AA31" s="5"/>
      <c r="AC31" s="79" t="s">
        <v>181</v>
      </c>
      <c r="AD31" s="79" t="s">
        <v>182</v>
      </c>
      <c r="AE31" s="67" t="s">
        <v>183</v>
      </c>
      <c r="AF31" s="68" t="s">
        <v>184</v>
      </c>
      <c r="AG31" s="67" t="s">
        <v>185</v>
      </c>
      <c r="AH31" s="67" t="s">
        <v>186</v>
      </c>
      <c r="AJ31" s="79" t="s">
        <v>181</v>
      </c>
      <c r="AK31" s="79" t="s">
        <v>187</v>
      </c>
      <c r="AL31" s="67" t="s">
        <v>183</v>
      </c>
      <c r="AM31" s="67" t="s">
        <v>184</v>
      </c>
    </row>
    <row r="32" spans="1:39" x14ac:dyDescent="0.25">
      <c r="A32" s="6" t="s">
        <v>17</v>
      </c>
      <c r="B32" s="42" t="s">
        <v>94</v>
      </c>
      <c r="C32" s="42" t="s">
        <v>95</v>
      </c>
      <c r="D32" s="42" t="s">
        <v>96</v>
      </c>
      <c r="E32" s="42" t="s">
        <v>96</v>
      </c>
      <c r="F32" s="42" t="s">
        <v>96</v>
      </c>
      <c r="G32" s="42" t="s">
        <v>96</v>
      </c>
      <c r="H32" s="42" t="s">
        <v>97</v>
      </c>
      <c r="I32" s="42" t="s">
        <v>97</v>
      </c>
      <c r="J32" s="32" t="s">
        <v>98</v>
      </c>
      <c r="K32" s="32" t="s">
        <v>98</v>
      </c>
      <c r="L32" s="32" t="s">
        <v>99</v>
      </c>
      <c r="M32" s="32" t="s">
        <v>100</v>
      </c>
      <c r="N32" s="32" t="s">
        <v>100</v>
      </c>
      <c r="O32" s="32" t="s">
        <v>100</v>
      </c>
      <c r="P32" s="32" t="s">
        <v>100</v>
      </c>
      <c r="Q32" s="32" t="s">
        <v>101</v>
      </c>
      <c r="R32" s="32" t="s">
        <v>101</v>
      </c>
      <c r="S32" s="32" t="s">
        <v>101</v>
      </c>
      <c r="T32" s="32" t="s">
        <v>101</v>
      </c>
      <c r="U32" s="32" t="s">
        <v>101</v>
      </c>
      <c r="V32" s="32" t="s">
        <v>102</v>
      </c>
      <c r="W32" s="32" t="s">
        <v>102</v>
      </c>
      <c r="X32" s="32" t="s">
        <v>102</v>
      </c>
      <c r="Y32" s="32" t="s">
        <v>102</v>
      </c>
      <c r="AA32" s="7"/>
      <c r="AC32" s="70" t="s">
        <v>188</v>
      </c>
      <c r="AD32" s="71">
        <v>7</v>
      </c>
      <c r="AE32" s="72">
        <v>96.000040852005128</v>
      </c>
      <c r="AF32" s="71">
        <v>96</v>
      </c>
      <c r="AG32" s="72">
        <v>8758.02</v>
      </c>
      <c r="AH32" s="72">
        <v>805</v>
      </c>
      <c r="AJ32" s="70" t="s">
        <v>94</v>
      </c>
      <c r="AK32">
        <v>1</v>
      </c>
      <c r="AL32" s="65">
        <v>151.20500000000001</v>
      </c>
      <c r="AM32">
        <v>4</v>
      </c>
    </row>
    <row r="33" spans="1:39" x14ac:dyDescent="0.25">
      <c r="A33" s="8" t="s">
        <v>30</v>
      </c>
      <c r="B33" s="9">
        <v>604.82000000000005</v>
      </c>
      <c r="C33" s="9">
        <v>493.82</v>
      </c>
      <c r="D33" s="9">
        <v>2390.9</v>
      </c>
      <c r="E33" s="9">
        <v>3261.98</v>
      </c>
      <c r="F33" s="9">
        <v>568.02</v>
      </c>
      <c r="G33" s="9">
        <v>192.91</v>
      </c>
      <c r="H33" s="9">
        <v>875.56</v>
      </c>
      <c r="I33" s="9">
        <v>151.91</v>
      </c>
      <c r="J33" s="9">
        <v>676.72</v>
      </c>
      <c r="K33" s="9">
        <v>699.1</v>
      </c>
      <c r="L33" s="9">
        <v>2403.6799999999998</v>
      </c>
      <c r="M33" s="9">
        <v>2214.4299999999998</v>
      </c>
      <c r="N33" s="9">
        <v>696.91</v>
      </c>
      <c r="O33" s="9">
        <v>1768.56</v>
      </c>
      <c r="P33" s="9">
        <v>1785.5</v>
      </c>
      <c r="Q33" s="9">
        <v>85.98</v>
      </c>
      <c r="R33" s="9">
        <v>826.61</v>
      </c>
      <c r="S33" s="9">
        <v>441.39</v>
      </c>
      <c r="T33" s="9">
        <v>1141.49</v>
      </c>
      <c r="U33" s="9">
        <v>141.91999999999999</v>
      </c>
      <c r="V33" s="9">
        <v>1077.7</v>
      </c>
      <c r="W33" s="9">
        <v>345.35</v>
      </c>
      <c r="X33" s="9">
        <v>217.9</v>
      </c>
      <c r="Y33" s="9">
        <v>2603.34</v>
      </c>
      <c r="AA33" s="10">
        <f>SUM(B33:Y33)</f>
        <v>25666.5</v>
      </c>
      <c r="AC33" s="70" t="s">
        <v>189</v>
      </c>
      <c r="AD33" s="71">
        <v>4</v>
      </c>
      <c r="AE33" s="72">
        <v>101.45323928812417</v>
      </c>
      <c r="AF33" s="71">
        <v>78</v>
      </c>
      <c r="AG33" s="72">
        <v>7391.03</v>
      </c>
      <c r="AH33" s="72">
        <v>620</v>
      </c>
      <c r="AJ33" s="70" t="s">
        <v>95</v>
      </c>
      <c r="AK33">
        <v>1</v>
      </c>
      <c r="AL33" s="65">
        <v>123.455</v>
      </c>
      <c r="AM33">
        <v>4</v>
      </c>
    </row>
    <row r="34" spans="1:39" x14ac:dyDescent="0.25">
      <c r="A34" s="11" t="s">
        <v>31</v>
      </c>
      <c r="B34" s="12">
        <v>15</v>
      </c>
      <c r="C34" s="12">
        <v>20</v>
      </c>
      <c r="D34" s="12">
        <v>64.599999999999994</v>
      </c>
      <c r="E34" s="12">
        <v>134.9</v>
      </c>
      <c r="F34" s="12">
        <v>58.4</v>
      </c>
      <c r="G34" s="12">
        <v>2</v>
      </c>
      <c r="H34" s="12">
        <v>13</v>
      </c>
      <c r="I34" s="12">
        <v>2</v>
      </c>
      <c r="J34" s="12">
        <v>19.5</v>
      </c>
      <c r="K34" s="12">
        <v>38.5</v>
      </c>
      <c r="L34" s="12">
        <v>292.43</v>
      </c>
      <c r="M34" s="12">
        <v>45</v>
      </c>
      <c r="N34" s="12">
        <v>37</v>
      </c>
      <c r="O34" s="12">
        <v>94.95</v>
      </c>
      <c r="P34" s="12">
        <v>48</v>
      </c>
      <c r="Q34" s="12">
        <v>4</v>
      </c>
      <c r="R34" s="12">
        <v>38</v>
      </c>
      <c r="S34" s="12">
        <v>21.5</v>
      </c>
      <c r="T34" s="12">
        <v>73.8</v>
      </c>
      <c r="U34" s="12">
        <v>15</v>
      </c>
      <c r="V34" s="12">
        <v>11</v>
      </c>
      <c r="W34" s="12">
        <v>39.5</v>
      </c>
      <c r="X34" s="12">
        <v>11</v>
      </c>
      <c r="Y34" s="12">
        <v>78</v>
      </c>
      <c r="AA34" s="10">
        <f>SUM(B34:Y34)</f>
        <v>1177.08</v>
      </c>
      <c r="AC34" s="70" t="s">
        <v>190</v>
      </c>
      <c r="AD34" s="71">
        <v>5</v>
      </c>
      <c r="AE34" s="72">
        <v>56.25808730158731</v>
      </c>
      <c r="AF34" s="71">
        <v>46</v>
      </c>
      <c r="AG34" s="72">
        <v>2531.9299999999998</v>
      </c>
      <c r="AH34" s="72">
        <v>347</v>
      </c>
      <c r="AJ34" s="70" t="s">
        <v>96</v>
      </c>
      <c r="AK34">
        <v>4</v>
      </c>
      <c r="AL34" s="65">
        <v>73.705813215102978</v>
      </c>
      <c r="AM34">
        <v>75</v>
      </c>
    </row>
    <row r="35" spans="1:39" x14ac:dyDescent="0.25">
      <c r="A35" s="11" t="s">
        <v>32</v>
      </c>
      <c r="B35" s="12">
        <v>80.989999999999995</v>
      </c>
      <c r="C35" s="12">
        <v>92</v>
      </c>
      <c r="D35" s="12">
        <v>441.96</v>
      </c>
      <c r="E35" s="12">
        <v>518.64</v>
      </c>
      <c r="F35" s="12">
        <v>99.5</v>
      </c>
      <c r="G35" s="12">
        <v>34</v>
      </c>
      <c r="H35" s="12">
        <v>254.95</v>
      </c>
      <c r="I35" s="12">
        <v>22</v>
      </c>
      <c r="J35" s="12">
        <v>137.19</v>
      </c>
      <c r="K35" s="12">
        <v>131.46</v>
      </c>
      <c r="L35" s="12">
        <v>330.94</v>
      </c>
      <c r="M35" s="12">
        <v>589.91999999999996</v>
      </c>
      <c r="N35" s="12">
        <v>95</v>
      </c>
      <c r="O35" s="12">
        <v>267.99</v>
      </c>
      <c r="P35" s="12">
        <v>488.94</v>
      </c>
      <c r="Q35" s="12">
        <v>5</v>
      </c>
      <c r="R35" s="12">
        <v>84</v>
      </c>
      <c r="S35" s="12">
        <v>70</v>
      </c>
      <c r="T35" s="12">
        <v>147.99</v>
      </c>
      <c r="U35" s="12">
        <v>2</v>
      </c>
      <c r="V35" s="12">
        <v>232.99</v>
      </c>
      <c r="W35" s="12">
        <v>56.99</v>
      </c>
      <c r="X35" s="12">
        <v>17.989999999999998</v>
      </c>
      <c r="Y35" s="12">
        <v>377.94</v>
      </c>
      <c r="AA35" s="10">
        <f>SUM(B35:Y35)</f>
        <v>4580.3799999999992</v>
      </c>
      <c r="AC35" s="70" t="s">
        <v>191</v>
      </c>
      <c r="AD35" s="71">
        <v>1</v>
      </c>
      <c r="AE35" s="72">
        <v>68.021538461538455</v>
      </c>
      <c r="AF35" s="71">
        <v>26</v>
      </c>
      <c r="AG35" s="72">
        <v>1768.56</v>
      </c>
      <c r="AH35" s="72">
        <v>130</v>
      </c>
      <c r="AJ35" s="70" t="s">
        <v>97</v>
      </c>
      <c r="AK35">
        <v>2</v>
      </c>
      <c r="AL35" s="65">
        <v>62.298611111111107</v>
      </c>
      <c r="AM35">
        <v>20</v>
      </c>
    </row>
    <row r="36" spans="1:39" x14ac:dyDescent="0.25">
      <c r="A36" s="11" t="s">
        <v>33</v>
      </c>
      <c r="B36" s="12">
        <f>5*B39</f>
        <v>20</v>
      </c>
      <c r="C36" s="12">
        <f>5*C39</f>
        <v>20</v>
      </c>
      <c r="D36" s="12">
        <f>10*D39</f>
        <v>230</v>
      </c>
      <c r="E36" s="12">
        <f>10*E39</f>
        <v>380</v>
      </c>
      <c r="F36" s="12">
        <f>5*F39</f>
        <v>50</v>
      </c>
      <c r="G36" s="12">
        <f>5*G39</f>
        <v>20</v>
      </c>
      <c r="H36" s="12">
        <f>8*H39</f>
        <v>144</v>
      </c>
      <c r="I36" s="12">
        <f>5*I39</f>
        <v>10</v>
      </c>
      <c r="J36" s="12">
        <f>8*J39</f>
        <v>88</v>
      </c>
      <c r="K36" s="12">
        <f>5*K39</f>
        <v>30</v>
      </c>
      <c r="L36" s="12">
        <f>5*L39</f>
        <v>130</v>
      </c>
      <c r="M36" s="12">
        <f>10*M39</f>
        <v>210</v>
      </c>
      <c r="N36" s="12">
        <f>10*N39</f>
        <v>60</v>
      </c>
      <c r="O36" s="12">
        <f>5*O39</f>
        <v>130</v>
      </c>
      <c r="P36" s="12">
        <f>10*P39</f>
        <v>220</v>
      </c>
      <c r="Q36" s="12">
        <f>5*Q39</f>
        <v>5</v>
      </c>
      <c r="R36" s="12">
        <f>10*R39</f>
        <v>80</v>
      </c>
      <c r="S36" s="12">
        <f>10*S39</f>
        <v>60</v>
      </c>
      <c r="T36" s="12">
        <f>5*T39</f>
        <v>65</v>
      </c>
      <c r="U36" s="12">
        <f>2*U39</f>
        <v>2</v>
      </c>
      <c r="V36" s="12">
        <v>160</v>
      </c>
      <c r="W36" s="12">
        <v>35</v>
      </c>
      <c r="X36" s="12">
        <v>10</v>
      </c>
      <c r="Y36" s="12">
        <v>130</v>
      </c>
      <c r="AA36" s="10">
        <f>SUM(B36:Y36)</f>
        <v>2289</v>
      </c>
      <c r="AC36" s="70" t="s">
        <v>192</v>
      </c>
      <c r="AD36" s="71">
        <v>2</v>
      </c>
      <c r="AE36" s="72">
        <v>89.953586956521747</v>
      </c>
      <c r="AF36" s="71">
        <v>25</v>
      </c>
      <c r="AG36" s="72">
        <v>2542.81</v>
      </c>
      <c r="AH36" s="72">
        <v>240</v>
      </c>
      <c r="AJ36" s="70" t="s">
        <v>98</v>
      </c>
      <c r="AK36">
        <v>2</v>
      </c>
      <c r="AL36" s="65">
        <v>89.018333333333331</v>
      </c>
      <c r="AM36">
        <v>17</v>
      </c>
    </row>
    <row r="37" spans="1:39" x14ac:dyDescent="0.25">
      <c r="A37" s="11" t="s">
        <v>34</v>
      </c>
      <c r="B37" s="12">
        <f>B33-B34-B35</f>
        <v>508.83000000000004</v>
      </c>
      <c r="C37" s="12">
        <f>C33-C34-C35</f>
        <v>381.82</v>
      </c>
      <c r="D37" s="12">
        <f t="shared" ref="D37:I37" si="27">D33-D34-D35</f>
        <v>1884.3400000000001</v>
      </c>
      <c r="E37" s="12">
        <f t="shared" si="27"/>
        <v>2608.44</v>
      </c>
      <c r="F37" s="12">
        <f t="shared" si="27"/>
        <v>410.12</v>
      </c>
      <c r="G37" s="12">
        <f t="shared" si="27"/>
        <v>156.91</v>
      </c>
      <c r="H37" s="12">
        <f t="shared" si="27"/>
        <v>607.6099999999999</v>
      </c>
      <c r="I37" s="12">
        <f t="shared" si="27"/>
        <v>127.91</v>
      </c>
      <c r="J37" s="12">
        <f t="shared" ref="J37:K37" si="28">J33-J34-J35</f>
        <v>520.03</v>
      </c>
      <c r="K37" s="12">
        <f t="shared" si="28"/>
        <v>529.14</v>
      </c>
      <c r="L37" s="12">
        <f t="shared" ref="L37:P37" si="29">L33-L34-L35</f>
        <v>1780.31</v>
      </c>
      <c r="M37" s="12">
        <f t="shared" si="29"/>
        <v>1579.5099999999998</v>
      </c>
      <c r="N37" s="12">
        <f t="shared" si="29"/>
        <v>564.91</v>
      </c>
      <c r="O37" s="12">
        <f t="shared" si="29"/>
        <v>1405.62</v>
      </c>
      <c r="P37" s="12">
        <f t="shared" si="29"/>
        <v>1248.56</v>
      </c>
      <c r="Q37" s="12">
        <f t="shared" ref="Q37:T37" si="30">Q33-Q34-Q35</f>
        <v>76.98</v>
      </c>
      <c r="R37" s="12">
        <f t="shared" si="30"/>
        <v>704.61</v>
      </c>
      <c r="S37" s="12">
        <f t="shared" si="30"/>
        <v>349.89</v>
      </c>
      <c r="T37" s="12">
        <f t="shared" si="30"/>
        <v>919.7</v>
      </c>
      <c r="U37" s="12">
        <f t="shared" ref="U37:Y37" si="31">U33-U34-U35</f>
        <v>124.91999999999999</v>
      </c>
      <c r="V37" s="12">
        <f t="shared" si="31"/>
        <v>833.71</v>
      </c>
      <c r="W37" s="12">
        <f t="shared" si="31"/>
        <v>248.86</v>
      </c>
      <c r="X37" s="12">
        <f t="shared" si="31"/>
        <v>188.91</v>
      </c>
      <c r="Y37" s="12">
        <f t="shared" si="31"/>
        <v>2147.4</v>
      </c>
      <c r="AA37" s="10">
        <f>SUM(B37:Y37)</f>
        <v>19909.04</v>
      </c>
      <c r="AC37" s="70" t="s">
        <v>193</v>
      </c>
      <c r="AD37" s="71">
        <v>2</v>
      </c>
      <c r="AE37" s="72">
        <v>114.86346153846154</v>
      </c>
      <c r="AF37" s="71">
        <v>14</v>
      </c>
      <c r="AG37" s="72">
        <v>1283.4100000000001</v>
      </c>
      <c r="AH37" s="72">
        <v>67</v>
      </c>
      <c r="AJ37" s="70" t="s">
        <v>99</v>
      </c>
      <c r="AK37">
        <v>1</v>
      </c>
      <c r="AL37" s="65">
        <v>92.449230769230766</v>
      </c>
      <c r="AM37">
        <v>26</v>
      </c>
    </row>
    <row r="38" spans="1:39" ht="10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AA38" s="14"/>
      <c r="AC38" s="70" t="s">
        <v>194</v>
      </c>
      <c r="AD38" s="71">
        <v>1</v>
      </c>
      <c r="AE38" s="72">
        <v>56.802</v>
      </c>
      <c r="AF38" s="71">
        <v>10</v>
      </c>
      <c r="AG38" s="72">
        <v>568.02</v>
      </c>
      <c r="AH38" s="72">
        <v>50</v>
      </c>
      <c r="AJ38" s="70" t="s">
        <v>100</v>
      </c>
      <c r="AK38">
        <v>4</v>
      </c>
      <c r="AL38" s="65">
        <v>92.695335914085916</v>
      </c>
      <c r="AM38">
        <v>75</v>
      </c>
    </row>
    <row r="39" spans="1:39" x14ac:dyDescent="0.25">
      <c r="A39" s="11" t="s">
        <v>35</v>
      </c>
      <c r="B39" s="20">
        <v>4</v>
      </c>
      <c r="C39" s="20">
        <v>4</v>
      </c>
      <c r="D39" s="20">
        <v>23</v>
      </c>
      <c r="E39" s="20">
        <v>38</v>
      </c>
      <c r="F39" s="20">
        <v>10</v>
      </c>
      <c r="G39" s="20">
        <v>4</v>
      </c>
      <c r="H39" s="20">
        <v>18</v>
      </c>
      <c r="I39" s="20">
        <v>2</v>
      </c>
      <c r="J39" s="20">
        <v>11</v>
      </c>
      <c r="K39" s="20">
        <v>6</v>
      </c>
      <c r="L39" s="20">
        <v>26</v>
      </c>
      <c r="M39" s="20">
        <v>21</v>
      </c>
      <c r="N39" s="20">
        <v>6</v>
      </c>
      <c r="O39" s="20">
        <v>26</v>
      </c>
      <c r="P39" s="20">
        <v>22</v>
      </c>
      <c r="Q39" s="20">
        <v>1</v>
      </c>
      <c r="R39" s="20">
        <v>8</v>
      </c>
      <c r="S39" s="20">
        <v>6</v>
      </c>
      <c r="T39" s="20">
        <v>13</v>
      </c>
      <c r="U39" s="20">
        <v>1</v>
      </c>
      <c r="V39" s="20">
        <v>16</v>
      </c>
      <c r="W39" s="20">
        <v>7</v>
      </c>
      <c r="X39" s="20">
        <v>2</v>
      </c>
      <c r="Y39" s="20">
        <v>26</v>
      </c>
      <c r="AA39" s="34">
        <f>SUM(B39:Y39)</f>
        <v>301</v>
      </c>
      <c r="AC39" s="70" t="s">
        <v>195</v>
      </c>
      <c r="AD39" s="71">
        <v>2</v>
      </c>
      <c r="AE39" s="72">
        <v>130.07750000000001</v>
      </c>
      <c r="AF39" s="71">
        <v>6</v>
      </c>
      <c r="AG39" s="72">
        <v>822.72</v>
      </c>
      <c r="AH39" s="72">
        <v>30</v>
      </c>
      <c r="AJ39" s="70" t="s">
        <v>101</v>
      </c>
      <c r="AK39">
        <v>5</v>
      </c>
      <c r="AL39" s="65">
        <v>98.519634615384618</v>
      </c>
      <c r="AM39">
        <v>29</v>
      </c>
    </row>
    <row r="40" spans="1:39" x14ac:dyDescent="0.25">
      <c r="A40" s="11" t="s">
        <v>36</v>
      </c>
      <c r="B40" s="12">
        <f>B33/B39</f>
        <v>151.20500000000001</v>
      </c>
      <c r="C40" s="12">
        <f>C33/C39</f>
        <v>123.455</v>
      </c>
      <c r="D40" s="12">
        <f t="shared" ref="D40:G40" si="32">D33/D39</f>
        <v>103.95217391304348</v>
      </c>
      <c r="E40" s="12">
        <f t="shared" si="32"/>
        <v>85.841578947368419</v>
      </c>
      <c r="F40" s="12">
        <f t="shared" si="32"/>
        <v>56.802</v>
      </c>
      <c r="G40" s="12">
        <f t="shared" si="32"/>
        <v>48.227499999999999</v>
      </c>
      <c r="H40" s="12">
        <f t="shared" ref="H40" si="33">H33/H39</f>
        <v>48.642222222222216</v>
      </c>
      <c r="I40" s="12">
        <f t="shared" ref="I40" si="34">I33/I39</f>
        <v>75.954999999999998</v>
      </c>
      <c r="J40" s="12">
        <f t="shared" ref="J40" si="35">J33/J39</f>
        <v>61.52</v>
      </c>
      <c r="K40" s="12">
        <f t="shared" ref="K40:L40" si="36">K33/K39</f>
        <v>116.51666666666667</v>
      </c>
      <c r="L40" s="12">
        <f t="shared" si="36"/>
        <v>92.449230769230766</v>
      </c>
      <c r="M40" s="12">
        <f t="shared" ref="M40" si="37">M33/M39</f>
        <v>105.4490476190476</v>
      </c>
      <c r="N40" s="12">
        <f t="shared" ref="N40" si="38">N33/N39</f>
        <v>116.15166666666666</v>
      </c>
      <c r="O40" s="12">
        <f t="shared" ref="O40" si="39">O33/O39</f>
        <v>68.021538461538455</v>
      </c>
      <c r="P40" s="12">
        <f t="shared" ref="P40" si="40">P33/P39</f>
        <v>81.159090909090907</v>
      </c>
      <c r="Q40" s="12">
        <f t="shared" ref="Q40" si="41">Q33/Q39</f>
        <v>85.98</v>
      </c>
      <c r="R40" s="12">
        <f t="shared" ref="R40" si="42">R33/R39</f>
        <v>103.32625</v>
      </c>
      <c r="S40" s="12">
        <f t="shared" ref="S40" si="43">S33/S39</f>
        <v>73.564999999999998</v>
      </c>
      <c r="T40" s="12">
        <f t="shared" ref="T40:U40" si="44">T33/T39</f>
        <v>87.806923076923084</v>
      </c>
      <c r="U40" s="12">
        <f t="shared" si="44"/>
        <v>141.91999999999999</v>
      </c>
      <c r="V40" s="12">
        <f t="shared" ref="V40" si="45">V33/V39</f>
        <v>67.356250000000003</v>
      </c>
      <c r="W40" s="12">
        <f t="shared" ref="W40" si="46">W33/W39</f>
        <v>49.335714285714289</v>
      </c>
      <c r="X40" s="12">
        <f t="shared" ref="X40" si="47">X33/X39</f>
        <v>108.95</v>
      </c>
      <c r="Y40" s="12">
        <f t="shared" ref="Y40" si="48">Y33/Y39</f>
        <v>100.12846153846155</v>
      </c>
      <c r="AA40" s="10">
        <f>AVERAGE(B40:Y40)</f>
        <v>89.738179794832263</v>
      </c>
      <c r="AC40" s="73" t="s">
        <v>196</v>
      </c>
      <c r="AD40" s="74">
        <v>24</v>
      </c>
      <c r="AE40" s="75">
        <v>89.738179794832263</v>
      </c>
      <c r="AF40" s="74">
        <v>301</v>
      </c>
      <c r="AG40" s="75">
        <v>25666.499999999996</v>
      </c>
      <c r="AH40" s="75">
        <v>2289</v>
      </c>
      <c r="AJ40" s="70" t="s">
        <v>102</v>
      </c>
      <c r="AK40">
        <v>4</v>
      </c>
      <c r="AL40" s="65">
        <v>81.442606456043961</v>
      </c>
      <c r="AM40">
        <v>51</v>
      </c>
    </row>
    <row r="41" spans="1:39" x14ac:dyDescent="0.25">
      <c r="A41" s="11" t="s">
        <v>37</v>
      </c>
      <c r="B41" s="12">
        <f>(B33-B34)/B39</f>
        <v>147.45500000000001</v>
      </c>
      <c r="C41" s="12">
        <f>(C33-C34)/C39</f>
        <v>118.455</v>
      </c>
      <c r="D41" s="12">
        <f t="shared" ref="D41:G41" si="49">(D33-D34)/D39</f>
        <v>101.14347826086957</v>
      </c>
      <c r="E41" s="12">
        <f t="shared" si="49"/>
        <v>82.291578947368421</v>
      </c>
      <c r="F41" s="12">
        <f t="shared" si="49"/>
        <v>50.962000000000003</v>
      </c>
      <c r="G41" s="12">
        <f t="shared" si="49"/>
        <v>47.727499999999999</v>
      </c>
      <c r="H41" s="12">
        <f t="shared" ref="H41:I41" si="50">(H33-H34)/H39</f>
        <v>47.919999999999995</v>
      </c>
      <c r="I41" s="12">
        <f t="shared" si="50"/>
        <v>74.954999999999998</v>
      </c>
      <c r="J41" s="12">
        <f t="shared" ref="J41:K41" si="51">(J33-J34)/J39</f>
        <v>59.74727272727273</v>
      </c>
      <c r="K41" s="12">
        <f t="shared" si="51"/>
        <v>110.10000000000001</v>
      </c>
      <c r="L41" s="12">
        <f t="shared" ref="L41:P41" si="52">(L33-L34)/L39</f>
        <v>81.20192307692308</v>
      </c>
      <c r="M41" s="12">
        <f t="shared" si="52"/>
        <v>103.30619047619047</v>
      </c>
      <c r="N41" s="12">
        <f t="shared" si="52"/>
        <v>109.985</v>
      </c>
      <c r="O41" s="12">
        <f t="shared" si="52"/>
        <v>64.369615384615386</v>
      </c>
      <c r="P41" s="12">
        <f t="shared" si="52"/>
        <v>78.977272727272734</v>
      </c>
      <c r="Q41" s="12">
        <f t="shared" ref="Q41:T41" si="53">(Q33-Q34)/Q39</f>
        <v>81.98</v>
      </c>
      <c r="R41" s="12">
        <f t="shared" si="53"/>
        <v>98.576250000000002</v>
      </c>
      <c r="S41" s="12">
        <f t="shared" si="53"/>
        <v>69.981666666666669</v>
      </c>
      <c r="T41" s="12">
        <f t="shared" si="53"/>
        <v>82.13000000000001</v>
      </c>
      <c r="U41" s="12">
        <f t="shared" ref="U41:Y41" si="54">(U33-U34)/U39</f>
        <v>126.91999999999999</v>
      </c>
      <c r="V41" s="12">
        <f t="shared" si="54"/>
        <v>66.668750000000003</v>
      </c>
      <c r="W41" s="12">
        <f t="shared" si="54"/>
        <v>43.692857142857143</v>
      </c>
      <c r="X41" s="12">
        <f t="shared" si="54"/>
        <v>103.45</v>
      </c>
      <c r="Y41" s="12">
        <f t="shared" si="54"/>
        <v>97.128461538461551</v>
      </c>
      <c r="AA41" s="10">
        <f>AVERAGE(B41:Y41)</f>
        <v>85.380200706187409</v>
      </c>
      <c r="AJ41" s="73" t="s">
        <v>196</v>
      </c>
      <c r="AK41" s="69">
        <v>24</v>
      </c>
      <c r="AL41" s="76">
        <v>89.738179794832263</v>
      </c>
      <c r="AM41" s="69">
        <v>301</v>
      </c>
    </row>
    <row r="42" spans="1:39" ht="30" x14ac:dyDescent="0.25">
      <c r="A42" s="15" t="s">
        <v>38</v>
      </c>
      <c r="B42" s="12">
        <f>(B33-B34-B35)/B39</f>
        <v>127.20750000000001</v>
      </c>
      <c r="C42" s="12">
        <f>(C33-C34-C35)/C39</f>
        <v>95.454999999999998</v>
      </c>
      <c r="D42" s="12">
        <f t="shared" ref="D42:G42" si="55">(D33-D34-D35)/D39</f>
        <v>81.927826086956529</v>
      </c>
      <c r="E42" s="12">
        <f t="shared" si="55"/>
        <v>68.643157894736845</v>
      </c>
      <c r="F42" s="12">
        <f t="shared" si="55"/>
        <v>41.012</v>
      </c>
      <c r="G42" s="12">
        <f t="shared" si="55"/>
        <v>39.227499999999999</v>
      </c>
      <c r="H42" s="12">
        <f t="shared" ref="H42:I42" si="56">(H33-H34-H35)/H39</f>
        <v>33.756111111111103</v>
      </c>
      <c r="I42" s="12">
        <f t="shared" si="56"/>
        <v>63.954999999999998</v>
      </c>
      <c r="J42" s="12">
        <f t="shared" ref="J42:K42" si="57">(J33-J34-J35)/J39</f>
        <v>47.275454545454544</v>
      </c>
      <c r="K42" s="12">
        <f t="shared" si="57"/>
        <v>88.19</v>
      </c>
      <c r="L42" s="12">
        <f t="shared" ref="L42:P42" si="58">(L33-L34-L35)/L39</f>
        <v>68.473461538461535</v>
      </c>
      <c r="M42" s="12">
        <f t="shared" si="58"/>
        <v>75.2147619047619</v>
      </c>
      <c r="N42" s="12">
        <f t="shared" si="58"/>
        <v>94.151666666666657</v>
      </c>
      <c r="O42" s="12">
        <f t="shared" si="58"/>
        <v>54.062307692307691</v>
      </c>
      <c r="P42" s="12">
        <f t="shared" si="58"/>
        <v>56.75272727272727</v>
      </c>
      <c r="Q42" s="12">
        <f t="shared" ref="Q42:T42" si="59">(Q33-Q34-Q35)/Q39</f>
        <v>76.98</v>
      </c>
      <c r="R42" s="12">
        <f t="shared" si="59"/>
        <v>88.076250000000002</v>
      </c>
      <c r="S42" s="12">
        <f t="shared" si="59"/>
        <v>58.314999999999998</v>
      </c>
      <c r="T42" s="12">
        <f t="shared" si="59"/>
        <v>70.746153846153845</v>
      </c>
      <c r="U42" s="12">
        <f t="shared" ref="U42:Y42" si="60">(U33-U34-U35)/U39</f>
        <v>124.91999999999999</v>
      </c>
      <c r="V42" s="12">
        <f t="shared" si="60"/>
        <v>52.106875000000002</v>
      </c>
      <c r="W42" s="12">
        <f t="shared" si="60"/>
        <v>35.551428571428573</v>
      </c>
      <c r="X42" s="12">
        <f t="shared" si="60"/>
        <v>94.454999999999998</v>
      </c>
      <c r="Y42" s="12">
        <f t="shared" si="60"/>
        <v>82.592307692307699</v>
      </c>
      <c r="AA42" s="10">
        <f>AVERAGE(B42:Y42)</f>
        <v>71.626978742628083</v>
      </c>
    </row>
    <row r="43" spans="1:39" ht="3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AA43" s="14"/>
    </row>
    <row r="44" spans="1:39" ht="30" x14ac:dyDescent="0.25">
      <c r="A44" s="15" t="s">
        <v>39</v>
      </c>
      <c r="B44" s="12">
        <f>B40-B42</f>
        <v>23.997500000000002</v>
      </c>
      <c r="C44" s="12">
        <f>C40-C42</f>
        <v>28</v>
      </c>
      <c r="D44" s="12">
        <f t="shared" ref="D44:G44" si="61">D40-D42</f>
        <v>22.024347826086952</v>
      </c>
      <c r="E44" s="12">
        <f t="shared" si="61"/>
        <v>17.198421052631574</v>
      </c>
      <c r="F44" s="12">
        <f t="shared" si="61"/>
        <v>15.79</v>
      </c>
      <c r="G44" s="12">
        <f t="shared" si="61"/>
        <v>9</v>
      </c>
      <c r="H44" s="12">
        <f t="shared" ref="H44:I44" si="62">H40-H42</f>
        <v>14.886111111111113</v>
      </c>
      <c r="I44" s="12">
        <f t="shared" si="62"/>
        <v>12</v>
      </c>
      <c r="J44" s="12">
        <f t="shared" ref="J44:K44" si="63">J40-J42</f>
        <v>14.24454545454546</v>
      </c>
      <c r="K44" s="12">
        <f t="shared" si="63"/>
        <v>28.326666666666668</v>
      </c>
      <c r="L44" s="12">
        <f t="shared" ref="L44:P44" si="64">L40-L42</f>
        <v>23.975769230769231</v>
      </c>
      <c r="M44" s="12">
        <f t="shared" si="64"/>
        <v>30.234285714285704</v>
      </c>
      <c r="N44" s="12">
        <f t="shared" si="64"/>
        <v>22</v>
      </c>
      <c r="O44" s="12">
        <f t="shared" si="64"/>
        <v>13.959230769230764</v>
      </c>
      <c r="P44" s="12">
        <f t="shared" si="64"/>
        <v>24.406363636363636</v>
      </c>
      <c r="Q44" s="12">
        <f t="shared" ref="Q44:T44" si="65">Q40-Q42</f>
        <v>9</v>
      </c>
      <c r="R44" s="12">
        <f t="shared" si="65"/>
        <v>15.25</v>
      </c>
      <c r="S44" s="12">
        <f t="shared" si="65"/>
        <v>15.25</v>
      </c>
      <c r="T44" s="12">
        <f t="shared" si="65"/>
        <v>17.060769230769239</v>
      </c>
      <c r="U44" s="12">
        <f t="shared" ref="U44:Y44" si="66">U40-U42</f>
        <v>17</v>
      </c>
      <c r="V44" s="12">
        <f t="shared" si="66"/>
        <v>15.249375000000001</v>
      </c>
      <c r="W44" s="12">
        <f t="shared" si="66"/>
        <v>13.784285714285716</v>
      </c>
      <c r="X44" s="12">
        <f t="shared" si="66"/>
        <v>14.495000000000005</v>
      </c>
      <c r="Y44" s="12">
        <f t="shared" si="66"/>
        <v>17.536153846153852</v>
      </c>
      <c r="AA44" s="10">
        <f>AVERAGE(B44:Y44)</f>
        <v>18.111201052204162</v>
      </c>
    </row>
    <row r="45" spans="1:39" ht="30" x14ac:dyDescent="0.25">
      <c r="A45" s="15" t="s">
        <v>40</v>
      </c>
      <c r="B45" s="12">
        <f>B41-B42</f>
        <v>20.247500000000002</v>
      </c>
      <c r="C45" s="12">
        <f>C41-C42</f>
        <v>23</v>
      </c>
      <c r="D45" s="12">
        <f t="shared" ref="D45:G45" si="67">D41-D42</f>
        <v>19.215652173913043</v>
      </c>
      <c r="E45" s="12">
        <f t="shared" si="67"/>
        <v>13.648421052631576</v>
      </c>
      <c r="F45" s="12">
        <f t="shared" si="67"/>
        <v>9.9500000000000028</v>
      </c>
      <c r="G45" s="12">
        <f t="shared" si="67"/>
        <v>8.5</v>
      </c>
      <c r="H45" s="12">
        <f t="shared" ref="H45:I45" si="68">H41-H42</f>
        <v>14.163888888888891</v>
      </c>
      <c r="I45" s="12">
        <f t="shared" si="68"/>
        <v>11</v>
      </c>
      <c r="J45" s="12">
        <f t="shared" ref="J45:K45" si="69">J41-J42</f>
        <v>12.471818181818186</v>
      </c>
      <c r="K45" s="12">
        <f t="shared" si="69"/>
        <v>21.910000000000011</v>
      </c>
      <c r="L45" s="12">
        <f t="shared" ref="L45:P45" si="70">L41-L42</f>
        <v>12.728461538461545</v>
      </c>
      <c r="M45" s="12">
        <f t="shared" si="70"/>
        <v>28.091428571428565</v>
      </c>
      <c r="N45" s="12">
        <f t="shared" si="70"/>
        <v>15.833333333333343</v>
      </c>
      <c r="O45" s="12">
        <f t="shared" si="70"/>
        <v>10.307307692307695</v>
      </c>
      <c r="P45" s="12">
        <f t="shared" si="70"/>
        <v>22.224545454545463</v>
      </c>
      <c r="Q45" s="12">
        <f t="shared" ref="Q45:T45" si="71">Q41-Q42</f>
        <v>5</v>
      </c>
      <c r="R45" s="12">
        <f t="shared" si="71"/>
        <v>10.5</v>
      </c>
      <c r="S45" s="12">
        <f t="shared" si="71"/>
        <v>11.666666666666671</v>
      </c>
      <c r="T45" s="12">
        <f t="shared" si="71"/>
        <v>11.383846153846164</v>
      </c>
      <c r="U45" s="12">
        <f t="shared" ref="U45:Y45" si="72">U41-U42</f>
        <v>2</v>
      </c>
      <c r="V45" s="12">
        <f t="shared" si="72"/>
        <v>14.561875000000001</v>
      </c>
      <c r="W45" s="12">
        <f t="shared" si="72"/>
        <v>8.1414285714285697</v>
      </c>
      <c r="X45" s="12">
        <f t="shared" si="72"/>
        <v>8.9950000000000045</v>
      </c>
      <c r="Y45" s="12">
        <f t="shared" si="72"/>
        <v>14.536153846153852</v>
      </c>
      <c r="AA45" s="10">
        <f>AVERAGE(B45:Y45)</f>
        <v>13.753221963559314</v>
      </c>
    </row>
    <row r="46" spans="1:39" x14ac:dyDescent="0.25">
      <c r="A46" s="59" t="s">
        <v>41</v>
      </c>
      <c r="B46" s="12">
        <f>B33/B39</f>
        <v>151.20500000000001</v>
      </c>
      <c r="C46" s="12">
        <f>C33/C39</f>
        <v>123.455</v>
      </c>
      <c r="D46" s="12">
        <f t="shared" ref="D46:G46" si="73">D33/D39</f>
        <v>103.95217391304348</v>
      </c>
      <c r="E46" s="12">
        <f t="shared" si="73"/>
        <v>85.841578947368419</v>
      </c>
      <c r="F46" s="12">
        <f t="shared" si="73"/>
        <v>56.802</v>
      </c>
      <c r="G46" s="12">
        <f t="shared" si="73"/>
        <v>48.227499999999999</v>
      </c>
      <c r="H46" s="12">
        <f t="shared" ref="H46:I46" si="74">H33/H39</f>
        <v>48.642222222222216</v>
      </c>
      <c r="I46" s="12">
        <f t="shared" si="74"/>
        <v>75.954999999999998</v>
      </c>
      <c r="J46" s="12">
        <f t="shared" ref="J46:K46" si="75">J33/J39</f>
        <v>61.52</v>
      </c>
      <c r="K46" s="12">
        <f t="shared" si="75"/>
        <v>116.51666666666667</v>
      </c>
      <c r="L46" s="12">
        <f t="shared" ref="L46:P46" si="76">L33/L39</f>
        <v>92.449230769230766</v>
      </c>
      <c r="M46" s="12">
        <f t="shared" si="76"/>
        <v>105.4490476190476</v>
      </c>
      <c r="N46" s="12">
        <f t="shared" si="76"/>
        <v>116.15166666666666</v>
      </c>
      <c r="O46" s="12">
        <f t="shared" si="76"/>
        <v>68.021538461538455</v>
      </c>
      <c r="P46" s="12">
        <f t="shared" si="76"/>
        <v>81.159090909090907</v>
      </c>
      <c r="Q46" s="12">
        <f t="shared" ref="Q46:T46" si="77">Q33/Q39</f>
        <v>85.98</v>
      </c>
      <c r="R46" s="12">
        <f t="shared" si="77"/>
        <v>103.32625</v>
      </c>
      <c r="S46" s="12">
        <f t="shared" si="77"/>
        <v>73.564999999999998</v>
      </c>
      <c r="T46" s="12">
        <f t="shared" si="77"/>
        <v>87.806923076923084</v>
      </c>
      <c r="U46" s="12">
        <f t="shared" ref="U46:Y46" si="78">U33/U39</f>
        <v>141.91999999999999</v>
      </c>
      <c r="V46" s="12">
        <f t="shared" si="78"/>
        <v>67.356250000000003</v>
      </c>
      <c r="W46" s="12">
        <f t="shared" si="78"/>
        <v>49.335714285714289</v>
      </c>
      <c r="X46" s="12">
        <f t="shared" si="78"/>
        <v>108.95</v>
      </c>
      <c r="Y46" s="12">
        <f t="shared" si="78"/>
        <v>100.12846153846155</v>
      </c>
      <c r="AA46" s="65">
        <f>AA33/AA39</f>
        <v>85.270764119601324</v>
      </c>
    </row>
    <row r="47" spans="1:39" x14ac:dyDescent="0.25">
      <c r="AA47" s="2"/>
      <c r="AC47" s="70" t="s">
        <v>197</v>
      </c>
    </row>
    <row r="48" spans="1:39" ht="75" x14ac:dyDescent="0.25">
      <c r="A48" s="22" t="s">
        <v>42</v>
      </c>
      <c r="B48" s="22" t="s">
        <v>48</v>
      </c>
      <c r="C48" s="22" t="s">
        <v>49</v>
      </c>
      <c r="D48" s="22" t="s">
        <v>50</v>
      </c>
      <c r="E48" s="22" t="s">
        <v>51</v>
      </c>
      <c r="F48" s="22" t="s">
        <v>52</v>
      </c>
      <c r="G48" s="22" t="s">
        <v>53</v>
      </c>
      <c r="H48" s="22" t="s">
        <v>54</v>
      </c>
      <c r="I48" s="22" t="s">
        <v>55</v>
      </c>
      <c r="J48" s="22" t="s">
        <v>56</v>
      </c>
      <c r="K48" s="22" t="s">
        <v>57</v>
      </c>
      <c r="L48" s="22" t="s">
        <v>58</v>
      </c>
      <c r="M48" s="22" t="s">
        <v>59</v>
      </c>
      <c r="N48" s="22" t="s">
        <v>60</v>
      </c>
      <c r="O48" s="22" t="s">
        <v>61</v>
      </c>
      <c r="P48" s="22" t="s">
        <v>62</v>
      </c>
      <c r="Q48" s="22" t="s">
        <v>63</v>
      </c>
      <c r="R48" s="22" t="s">
        <v>57</v>
      </c>
      <c r="S48" s="22" t="s">
        <v>64</v>
      </c>
      <c r="T48" s="22" t="s">
        <v>65</v>
      </c>
      <c r="U48" s="22" t="s">
        <v>66</v>
      </c>
      <c r="V48" s="22" t="s">
        <v>67</v>
      </c>
      <c r="W48" s="22" t="s">
        <v>68</v>
      </c>
      <c r="X48" s="22" t="s">
        <v>48</v>
      </c>
      <c r="Y48" s="22" t="s">
        <v>69</v>
      </c>
      <c r="AA48" s="5"/>
      <c r="AC48" s="78" t="s">
        <v>181</v>
      </c>
      <c r="AD48" s="78" t="s">
        <v>187</v>
      </c>
      <c r="AE48" s="77" t="s">
        <v>183</v>
      </c>
      <c r="AF48" s="77" t="s">
        <v>198</v>
      </c>
      <c r="AG48" s="77" t="s">
        <v>199</v>
      </c>
      <c r="AH48" s="77" t="s">
        <v>200</v>
      </c>
      <c r="AJ48" s="78" t="s">
        <v>181</v>
      </c>
      <c r="AK48" s="78" t="s">
        <v>187</v>
      </c>
      <c r="AL48" s="77" t="s">
        <v>183</v>
      </c>
      <c r="AM48" s="77" t="s">
        <v>198</v>
      </c>
    </row>
    <row r="49" spans="1:39" ht="72.75" customHeight="1" x14ac:dyDescent="0.25">
      <c r="A49" s="23" t="s">
        <v>15</v>
      </c>
      <c r="B49" s="24" t="s">
        <v>70</v>
      </c>
      <c r="C49" s="24" t="s">
        <v>71</v>
      </c>
      <c r="D49" s="24" t="s">
        <v>72</v>
      </c>
      <c r="E49" s="24" t="s">
        <v>73</v>
      </c>
      <c r="F49" s="24" t="s">
        <v>74</v>
      </c>
      <c r="G49" s="24" t="s">
        <v>75</v>
      </c>
      <c r="H49" s="24" t="s">
        <v>76</v>
      </c>
      <c r="I49" s="24" t="s">
        <v>77</v>
      </c>
      <c r="J49" s="24" t="s">
        <v>78</v>
      </c>
      <c r="K49" s="24" t="s">
        <v>79</v>
      </c>
      <c r="L49" s="24" t="s">
        <v>80</v>
      </c>
      <c r="M49" s="24" t="s">
        <v>81</v>
      </c>
      <c r="N49" s="24" t="s">
        <v>82</v>
      </c>
      <c r="O49" s="24" t="s">
        <v>83</v>
      </c>
      <c r="P49" s="24" t="s">
        <v>84</v>
      </c>
      <c r="Q49" s="24" t="s">
        <v>85</v>
      </c>
      <c r="R49" s="24" t="s">
        <v>86</v>
      </c>
      <c r="S49" s="24" t="s">
        <v>87</v>
      </c>
      <c r="T49" s="24" t="s">
        <v>88</v>
      </c>
      <c r="U49" s="24" t="s">
        <v>89</v>
      </c>
      <c r="V49" s="24" t="s">
        <v>90</v>
      </c>
      <c r="W49" s="24" t="s">
        <v>91</v>
      </c>
      <c r="X49" s="24" t="s">
        <v>92</v>
      </c>
      <c r="Y49" s="24" t="s">
        <v>93</v>
      </c>
      <c r="AC49" s="70" t="s">
        <v>188</v>
      </c>
      <c r="AD49">
        <v>7</v>
      </c>
      <c r="AE49" s="65">
        <v>74.077747437226634</v>
      </c>
      <c r="AF49">
        <v>236</v>
      </c>
      <c r="AG49" s="65">
        <v>17994.02</v>
      </c>
      <c r="AH49" s="65">
        <v>1910</v>
      </c>
      <c r="AJ49" s="70" t="s">
        <v>94</v>
      </c>
      <c r="AK49">
        <v>1</v>
      </c>
      <c r="AL49" s="65">
        <v>47.040588235294123</v>
      </c>
      <c r="AM49">
        <v>17</v>
      </c>
    </row>
    <row r="50" spans="1:39" ht="15.75" thickBot="1" x14ac:dyDescent="0.3">
      <c r="A50" s="25" t="s">
        <v>17</v>
      </c>
      <c r="B50" s="41" t="s">
        <v>94</v>
      </c>
      <c r="C50" s="41" t="s">
        <v>95</v>
      </c>
      <c r="D50" s="41" t="s">
        <v>96</v>
      </c>
      <c r="E50" s="41" t="s">
        <v>96</v>
      </c>
      <c r="F50" s="41" t="s">
        <v>96</v>
      </c>
      <c r="G50" s="41" t="s">
        <v>96</v>
      </c>
      <c r="H50" s="41" t="s">
        <v>97</v>
      </c>
      <c r="I50" s="41" t="s">
        <v>97</v>
      </c>
      <c r="J50" s="33" t="s">
        <v>98</v>
      </c>
      <c r="K50" s="33" t="s">
        <v>98</v>
      </c>
      <c r="L50" s="33" t="s">
        <v>99</v>
      </c>
      <c r="M50" s="33" t="s">
        <v>100</v>
      </c>
      <c r="N50" s="33" t="s">
        <v>100</v>
      </c>
      <c r="O50" s="33" t="s">
        <v>100</v>
      </c>
      <c r="P50" s="33" t="s">
        <v>100</v>
      </c>
      <c r="Q50" s="33" t="s">
        <v>101</v>
      </c>
      <c r="R50" s="33" t="s">
        <v>101</v>
      </c>
      <c r="S50" s="33" t="s">
        <v>101</v>
      </c>
      <c r="T50" s="33" t="s">
        <v>101</v>
      </c>
      <c r="U50" s="33" t="s">
        <v>101</v>
      </c>
      <c r="V50" s="33" t="s">
        <v>102</v>
      </c>
      <c r="W50" s="33" t="s">
        <v>102</v>
      </c>
      <c r="X50" s="33" t="s">
        <v>102</v>
      </c>
      <c r="Y50" s="33" t="s">
        <v>102</v>
      </c>
      <c r="AA50" s="7"/>
      <c r="AC50" s="70" t="s">
        <v>189</v>
      </c>
      <c r="AD50">
        <v>4</v>
      </c>
      <c r="AE50" s="65">
        <v>78.493553789960046</v>
      </c>
      <c r="AF50">
        <v>208</v>
      </c>
      <c r="AG50" s="65">
        <v>16880.169999999998</v>
      </c>
      <c r="AH50" s="65">
        <v>1850</v>
      </c>
      <c r="AJ50" s="70" t="s">
        <v>95</v>
      </c>
      <c r="AK50">
        <v>1</v>
      </c>
      <c r="AL50" s="65">
        <v>67.203076923076921</v>
      </c>
      <c r="AM50">
        <v>26</v>
      </c>
    </row>
    <row r="51" spans="1:39" x14ac:dyDescent="0.25">
      <c r="A51" s="26" t="s">
        <v>43</v>
      </c>
      <c r="B51" s="40">
        <v>799.69</v>
      </c>
      <c r="C51" s="40">
        <v>1747.28</v>
      </c>
      <c r="D51" s="40">
        <v>3456.34</v>
      </c>
      <c r="E51" s="40">
        <v>10171.06</v>
      </c>
      <c r="F51" s="40">
        <v>678.73</v>
      </c>
      <c r="G51" s="40">
        <v>870.47</v>
      </c>
      <c r="H51" s="40">
        <v>1398.92</v>
      </c>
      <c r="I51" s="40">
        <v>494.19</v>
      </c>
      <c r="J51" s="27">
        <v>1183.73</v>
      </c>
      <c r="K51" s="27">
        <v>952.79</v>
      </c>
      <c r="L51" s="27">
        <v>3099.74</v>
      </c>
      <c r="M51" s="27">
        <v>2525.8200000000002</v>
      </c>
      <c r="N51" s="27">
        <v>895.16</v>
      </c>
      <c r="O51" s="27">
        <v>2592.4299999999998</v>
      </c>
      <c r="P51" s="27">
        <v>1766.34</v>
      </c>
      <c r="Q51" s="27">
        <v>1176.99</v>
      </c>
      <c r="R51" s="27">
        <v>1354.69</v>
      </c>
      <c r="S51" s="27">
        <v>1034.3399999999999</v>
      </c>
      <c r="T51" s="27">
        <v>401.23</v>
      </c>
      <c r="U51" s="27">
        <v>290.85000000000002</v>
      </c>
      <c r="V51" s="27">
        <v>6782.69</v>
      </c>
      <c r="W51" s="27">
        <v>298.58999999999997</v>
      </c>
      <c r="X51" s="27">
        <v>813.68</v>
      </c>
      <c r="Y51" s="27">
        <v>4401.63</v>
      </c>
      <c r="AA51" s="16">
        <f>SUM(B51:Y51)</f>
        <v>49187.37999999999</v>
      </c>
      <c r="AC51" s="70" t="s">
        <v>190</v>
      </c>
      <c r="AD51">
        <v>5</v>
      </c>
      <c r="AE51" s="65">
        <v>60.667543961352656</v>
      </c>
      <c r="AF51">
        <v>77</v>
      </c>
      <c r="AG51" s="65">
        <v>4786.05</v>
      </c>
      <c r="AH51" s="65">
        <v>583</v>
      </c>
      <c r="AJ51" s="70" t="s">
        <v>96</v>
      </c>
      <c r="AK51">
        <v>4</v>
      </c>
      <c r="AL51" s="65">
        <v>67.106176723514963</v>
      </c>
      <c r="AM51">
        <v>201</v>
      </c>
    </row>
    <row r="52" spans="1:39" x14ac:dyDescent="0.25">
      <c r="A52" s="28" t="s">
        <v>44</v>
      </c>
      <c r="B52" s="39">
        <v>0.15709999999999999</v>
      </c>
      <c r="C52" s="39">
        <v>0.25190000000000001</v>
      </c>
      <c r="D52" s="39">
        <v>0.16439999999999999</v>
      </c>
      <c r="E52" s="39">
        <v>0.1191</v>
      </c>
      <c r="F52" s="39">
        <v>6.9400000000000003E-2</v>
      </c>
      <c r="G52" s="39">
        <v>0.19</v>
      </c>
      <c r="H52" s="39">
        <v>7.4999999999999997E-2</v>
      </c>
      <c r="I52" s="39">
        <v>0.28420000000000001</v>
      </c>
      <c r="J52" s="29">
        <v>0.112</v>
      </c>
      <c r="K52" s="29">
        <v>0.1648</v>
      </c>
      <c r="L52" s="29">
        <v>0.17399999999999999</v>
      </c>
      <c r="M52" s="29">
        <v>0.16039999999999999</v>
      </c>
      <c r="N52" s="29">
        <v>1.77E-2</v>
      </c>
      <c r="O52" s="29">
        <v>0.1507</v>
      </c>
      <c r="P52" s="29">
        <v>0.16819999999999999</v>
      </c>
      <c r="Q52" s="29">
        <v>0.25719999999999998</v>
      </c>
      <c r="R52" s="29">
        <v>0.23749999999999999</v>
      </c>
      <c r="S52" s="29">
        <v>0.214</v>
      </c>
      <c r="T52" s="29">
        <v>7.7100000000000002E-2</v>
      </c>
      <c r="U52" s="29">
        <v>0.2321</v>
      </c>
      <c r="V52" s="29">
        <v>0.3115</v>
      </c>
      <c r="W52" s="29">
        <v>9.2999999999999999E-2</v>
      </c>
      <c r="X52" s="29">
        <v>0.16300000000000001</v>
      </c>
      <c r="Y52" s="29">
        <v>9.4E-2</v>
      </c>
      <c r="AA52" s="18">
        <f>AVERAGE(B52:Y52)</f>
        <v>0.16409583333333333</v>
      </c>
      <c r="AC52" s="70" t="s">
        <v>191</v>
      </c>
      <c r="AD52">
        <v>1</v>
      </c>
      <c r="AE52" s="65">
        <v>57.609555555555552</v>
      </c>
      <c r="AF52">
        <v>45</v>
      </c>
      <c r="AG52" s="65">
        <v>2592.4299999999998</v>
      </c>
      <c r="AH52" s="65">
        <v>225</v>
      </c>
      <c r="AJ52" s="70" t="s">
        <v>97</v>
      </c>
      <c r="AK52">
        <v>2</v>
      </c>
      <c r="AL52" s="65">
        <v>153.95880434782609</v>
      </c>
      <c r="AM52">
        <v>25</v>
      </c>
    </row>
    <row r="53" spans="1:39" x14ac:dyDescent="0.25">
      <c r="A53" s="30" t="s">
        <v>45</v>
      </c>
      <c r="B53" s="46">
        <v>17</v>
      </c>
      <c r="C53" s="46">
        <v>26</v>
      </c>
      <c r="D53" s="46">
        <v>37</v>
      </c>
      <c r="E53" s="38">
        <v>132</v>
      </c>
      <c r="F53" s="38">
        <v>17</v>
      </c>
      <c r="G53" s="38">
        <v>15</v>
      </c>
      <c r="H53" s="38">
        <v>23</v>
      </c>
      <c r="I53" s="38">
        <v>2</v>
      </c>
      <c r="J53" s="31">
        <v>18</v>
      </c>
      <c r="K53" s="31">
        <v>16</v>
      </c>
      <c r="L53" s="31">
        <v>50</v>
      </c>
      <c r="M53" s="31">
        <v>30</v>
      </c>
      <c r="N53" s="31">
        <v>11</v>
      </c>
      <c r="O53" s="31">
        <v>45</v>
      </c>
      <c r="P53" s="31">
        <v>35</v>
      </c>
      <c r="Q53" s="31">
        <v>16</v>
      </c>
      <c r="R53" s="31">
        <v>21</v>
      </c>
      <c r="S53" s="31">
        <v>15</v>
      </c>
      <c r="T53" s="31">
        <v>7</v>
      </c>
      <c r="U53" s="31">
        <v>3</v>
      </c>
      <c r="V53" s="53">
        <v>68</v>
      </c>
      <c r="W53" s="53">
        <v>6</v>
      </c>
      <c r="X53" s="53">
        <v>12</v>
      </c>
      <c r="Y53" s="53">
        <v>39</v>
      </c>
      <c r="AA53" s="21">
        <f>SUM(B53:Y53)</f>
        <v>661</v>
      </c>
      <c r="AC53" s="70" t="s">
        <v>192</v>
      </c>
      <c r="AD53">
        <v>2</v>
      </c>
      <c r="AE53" s="65">
        <v>170.2547972972973</v>
      </c>
      <c r="AF53">
        <v>39</v>
      </c>
      <c r="AG53" s="65">
        <v>3950.53</v>
      </c>
      <c r="AH53" s="65">
        <v>380</v>
      </c>
      <c r="AJ53" s="70" t="s">
        <v>98</v>
      </c>
      <c r="AK53">
        <v>2</v>
      </c>
      <c r="AL53" s="65">
        <v>62.656076388888891</v>
      </c>
      <c r="AM53">
        <v>34</v>
      </c>
    </row>
    <row r="54" spans="1:39" x14ac:dyDescent="0.25">
      <c r="A54" s="51" t="s">
        <v>103</v>
      </c>
      <c r="B54" s="66">
        <f>5*B53</f>
        <v>85</v>
      </c>
      <c r="C54" s="66">
        <f>5*C53</f>
        <v>130</v>
      </c>
      <c r="D54" s="66">
        <f>10*D53</f>
        <v>370</v>
      </c>
      <c r="E54" s="66">
        <f>10*E53</f>
        <v>1320</v>
      </c>
      <c r="F54" s="66">
        <f>5*F53</f>
        <v>85</v>
      </c>
      <c r="G54" s="66">
        <f>5*G53</f>
        <v>75</v>
      </c>
      <c r="H54" s="66">
        <f>8*H53</f>
        <v>184</v>
      </c>
      <c r="I54" s="66">
        <f>5*I53</f>
        <v>10</v>
      </c>
      <c r="J54" s="66">
        <f>8*J53</f>
        <v>144</v>
      </c>
      <c r="K54" s="66">
        <f>5*K53</f>
        <v>80</v>
      </c>
      <c r="L54" s="66">
        <f>5*L53</f>
        <v>250</v>
      </c>
      <c r="M54" s="66">
        <f>10*M53</f>
        <v>300</v>
      </c>
      <c r="N54" s="66">
        <f>10*N53</f>
        <v>110</v>
      </c>
      <c r="O54" s="66">
        <f>5*O53</f>
        <v>225</v>
      </c>
      <c r="P54" s="66">
        <f>10*P53</f>
        <v>350</v>
      </c>
      <c r="Q54" s="66">
        <f>5*Q53</f>
        <v>80</v>
      </c>
      <c r="R54" s="66">
        <f>10*R53</f>
        <v>210</v>
      </c>
      <c r="S54" s="66">
        <f>10*S53</f>
        <v>150</v>
      </c>
      <c r="T54" s="66">
        <f>5*T53</f>
        <v>35</v>
      </c>
      <c r="U54" s="66">
        <f>2*U53</f>
        <v>6</v>
      </c>
      <c r="V54" s="56">
        <v>690</v>
      </c>
      <c r="W54" s="52">
        <v>30</v>
      </c>
      <c r="X54" s="52">
        <v>60</v>
      </c>
      <c r="Y54" s="52">
        <v>240</v>
      </c>
      <c r="AA54" s="16">
        <f>SUM(B54:Y54)</f>
        <v>5219</v>
      </c>
      <c r="AC54" s="70" t="s">
        <v>195</v>
      </c>
      <c r="AD54">
        <v>2</v>
      </c>
      <c r="AE54" s="65">
        <v>57.423627450980391</v>
      </c>
      <c r="AF54">
        <v>29</v>
      </c>
      <c r="AG54" s="65">
        <v>1613.37</v>
      </c>
      <c r="AH54" s="65">
        <v>145</v>
      </c>
      <c r="AJ54" s="70" t="s">
        <v>99</v>
      </c>
      <c r="AK54">
        <v>1</v>
      </c>
      <c r="AL54" s="65">
        <v>61.994799999999998</v>
      </c>
      <c r="AM54">
        <v>50</v>
      </c>
    </row>
    <row r="55" spans="1:39" x14ac:dyDescent="0.25">
      <c r="A55" s="51" t="s">
        <v>41</v>
      </c>
      <c r="B55" s="40">
        <f>B51/B53</f>
        <v>47.040588235294123</v>
      </c>
      <c r="C55" s="40">
        <f>C51/C53</f>
        <v>67.203076923076921</v>
      </c>
      <c r="D55" s="40">
        <f t="shared" ref="D55:Y55" si="79">D51/D53</f>
        <v>93.414594594594604</v>
      </c>
      <c r="E55" s="40">
        <f t="shared" si="79"/>
        <v>77.053484848484842</v>
      </c>
      <c r="F55" s="40">
        <f t="shared" si="79"/>
        <v>39.925294117647063</v>
      </c>
      <c r="G55" s="40">
        <f t="shared" si="79"/>
        <v>58.031333333333336</v>
      </c>
      <c r="H55" s="40">
        <f t="shared" si="79"/>
        <v>60.822608695652178</v>
      </c>
      <c r="I55" s="40">
        <f t="shared" si="79"/>
        <v>247.095</v>
      </c>
      <c r="J55" s="40">
        <f t="shared" si="79"/>
        <v>65.762777777777785</v>
      </c>
      <c r="K55" s="40">
        <f t="shared" si="79"/>
        <v>59.549374999999998</v>
      </c>
      <c r="L55" s="40">
        <f t="shared" si="79"/>
        <v>61.994799999999998</v>
      </c>
      <c r="M55" s="40">
        <f t="shared" si="79"/>
        <v>84.194000000000003</v>
      </c>
      <c r="N55" s="40">
        <f t="shared" si="79"/>
        <v>81.378181818181815</v>
      </c>
      <c r="O55" s="40">
        <f t="shared" si="79"/>
        <v>57.609555555555552</v>
      </c>
      <c r="P55" s="40">
        <f t="shared" si="79"/>
        <v>50.466857142857144</v>
      </c>
      <c r="Q55" s="40">
        <f t="shared" si="79"/>
        <v>73.561875000000001</v>
      </c>
      <c r="R55" s="40">
        <f t="shared" si="79"/>
        <v>64.509047619047621</v>
      </c>
      <c r="S55" s="40">
        <f t="shared" si="79"/>
        <v>68.955999999999989</v>
      </c>
      <c r="T55" s="40">
        <f t="shared" si="79"/>
        <v>57.318571428571431</v>
      </c>
      <c r="U55" s="40">
        <f t="shared" si="79"/>
        <v>96.95</v>
      </c>
      <c r="V55" s="40">
        <f t="shared" si="79"/>
        <v>99.745441176470578</v>
      </c>
      <c r="W55" s="40">
        <f t="shared" si="79"/>
        <v>49.764999999999993</v>
      </c>
      <c r="X55" s="40">
        <f t="shared" si="79"/>
        <v>67.806666666666658</v>
      </c>
      <c r="Y55" s="40">
        <f t="shared" si="79"/>
        <v>112.8623076923077</v>
      </c>
      <c r="AA55" s="65">
        <f>AA51/AA53</f>
        <v>74.413585476550665</v>
      </c>
      <c r="AC55" s="70" t="s">
        <v>194</v>
      </c>
      <c r="AD55">
        <v>1</v>
      </c>
      <c r="AE55" s="65">
        <v>39.925294117647063</v>
      </c>
      <c r="AF55">
        <v>17</v>
      </c>
      <c r="AG55" s="65">
        <v>678.73</v>
      </c>
      <c r="AH55" s="65">
        <v>85</v>
      </c>
      <c r="AJ55" s="70" t="s">
        <v>100</v>
      </c>
      <c r="AK55">
        <v>4</v>
      </c>
      <c r="AL55" s="65">
        <v>68.412148629148632</v>
      </c>
      <c r="AM55">
        <v>121</v>
      </c>
    </row>
    <row r="56" spans="1:39" x14ac:dyDescent="0.25">
      <c r="AC56" s="70" t="s">
        <v>193</v>
      </c>
      <c r="AD56">
        <v>2</v>
      </c>
      <c r="AE56" s="65">
        <v>77.13428571428571</v>
      </c>
      <c r="AF56">
        <v>10</v>
      </c>
      <c r="AG56" s="65">
        <v>692.08</v>
      </c>
      <c r="AH56" s="65">
        <v>41</v>
      </c>
      <c r="AJ56" s="70" t="s">
        <v>101</v>
      </c>
      <c r="AK56">
        <v>5</v>
      </c>
      <c r="AL56" s="65">
        <v>72.259098809523806</v>
      </c>
      <c r="AM56">
        <v>62</v>
      </c>
    </row>
    <row r="57" spans="1:39" x14ac:dyDescent="0.25">
      <c r="A57" s="58" t="s">
        <v>104</v>
      </c>
      <c r="AC57" s="70" t="s">
        <v>196</v>
      </c>
      <c r="AD57">
        <v>24</v>
      </c>
      <c r="AE57" s="65">
        <v>76.79235156772998</v>
      </c>
      <c r="AF57">
        <v>661</v>
      </c>
      <c r="AG57" s="65">
        <v>49187.38</v>
      </c>
      <c r="AH57" s="65">
        <v>5219</v>
      </c>
      <c r="AJ57" s="70" t="s">
        <v>102</v>
      </c>
      <c r="AK57">
        <v>4</v>
      </c>
      <c r="AL57" s="65">
        <v>82.544853883861236</v>
      </c>
      <c r="AM57">
        <v>125</v>
      </c>
    </row>
    <row r="58" spans="1:39" x14ac:dyDescent="0.25">
      <c r="A58" s="1" t="s">
        <v>1</v>
      </c>
      <c r="B58" s="1" t="s">
        <v>105</v>
      </c>
      <c r="C58" s="1" t="s">
        <v>106</v>
      </c>
      <c r="D58" s="1" t="s">
        <v>107</v>
      </c>
      <c r="E58" s="1" t="s">
        <v>108</v>
      </c>
      <c r="F58" s="1" t="s">
        <v>109</v>
      </c>
      <c r="G58" s="1" t="s">
        <v>110</v>
      </c>
      <c r="H58" s="1" t="s">
        <v>111</v>
      </c>
      <c r="J58" s="2" t="s">
        <v>14</v>
      </c>
      <c r="AJ58" s="70" t="s">
        <v>196</v>
      </c>
      <c r="AK58">
        <v>24</v>
      </c>
      <c r="AL58" s="65">
        <v>76.79235156772998</v>
      </c>
      <c r="AM58">
        <v>661</v>
      </c>
    </row>
    <row r="59" spans="1:39" ht="102" customHeight="1" x14ac:dyDescent="0.25">
      <c r="A59" s="3" t="s">
        <v>15</v>
      </c>
      <c r="B59" s="17" t="s">
        <v>112</v>
      </c>
      <c r="C59" s="17" t="s">
        <v>113</v>
      </c>
      <c r="D59" s="17" t="s">
        <v>114</v>
      </c>
      <c r="E59" s="17" t="s">
        <v>114</v>
      </c>
      <c r="F59" s="17" t="s">
        <v>115</v>
      </c>
      <c r="G59" s="17" t="s">
        <v>116</v>
      </c>
      <c r="H59" s="17" t="s">
        <v>117</v>
      </c>
      <c r="J59" s="5"/>
    </row>
    <row r="60" spans="1:39" ht="15.75" thickBot="1" x14ac:dyDescent="0.3">
      <c r="A60" s="6" t="s">
        <v>17</v>
      </c>
      <c r="B60" s="42" t="s">
        <v>118</v>
      </c>
      <c r="C60" s="42" t="s">
        <v>119</v>
      </c>
      <c r="D60" s="42" t="s">
        <v>120</v>
      </c>
      <c r="E60" s="42" t="s">
        <v>121</v>
      </c>
      <c r="F60" s="32" t="s">
        <v>122</v>
      </c>
      <c r="G60" s="32" t="s">
        <v>123</v>
      </c>
      <c r="H60" s="32" t="s">
        <v>124</v>
      </c>
      <c r="J60" s="7"/>
    </row>
    <row r="61" spans="1:39" x14ac:dyDescent="0.25">
      <c r="A61" s="8" t="s">
        <v>30</v>
      </c>
      <c r="B61" s="9">
        <v>20969.79</v>
      </c>
      <c r="C61" s="9">
        <v>33386.19</v>
      </c>
      <c r="D61" s="9">
        <v>13424.58</v>
      </c>
      <c r="E61" s="9">
        <v>15464.54</v>
      </c>
      <c r="F61" s="9">
        <v>40858.879999999997</v>
      </c>
      <c r="G61" s="9">
        <v>65438.09</v>
      </c>
      <c r="H61" s="9">
        <v>33305.15</v>
      </c>
      <c r="J61" s="10">
        <f>SUM(B61:H61)</f>
        <v>222847.22</v>
      </c>
    </row>
    <row r="62" spans="1:39" x14ac:dyDescent="0.25">
      <c r="A62" s="11" t="s">
        <v>31</v>
      </c>
      <c r="B62" s="12">
        <v>1082.0999999999999</v>
      </c>
      <c r="C62" s="12">
        <v>2563.3000000000002</v>
      </c>
      <c r="D62" s="12">
        <v>1013.3</v>
      </c>
      <c r="E62" s="12">
        <v>587.59</v>
      </c>
      <c r="F62" s="12">
        <v>2458.64</v>
      </c>
      <c r="G62" s="12">
        <v>6284.63</v>
      </c>
      <c r="H62" s="12">
        <v>1920.29</v>
      </c>
      <c r="J62" s="10">
        <f t="shared" ref="J62:J68" si="80">SUM(B62:H62)</f>
        <v>15909.850000000002</v>
      </c>
    </row>
    <row r="63" spans="1:39" x14ac:dyDescent="0.25">
      <c r="A63" s="11" t="s">
        <v>32</v>
      </c>
      <c r="B63" s="12">
        <v>3381.9</v>
      </c>
      <c r="C63" s="12">
        <v>5779.8</v>
      </c>
      <c r="D63" s="12">
        <v>2395.0300000000002</v>
      </c>
      <c r="E63" s="12">
        <v>2593.7399999999998</v>
      </c>
      <c r="F63" s="12">
        <v>7087.3</v>
      </c>
      <c r="G63" s="12">
        <v>10006.200000000001</v>
      </c>
      <c r="H63" s="12">
        <v>5912.5</v>
      </c>
      <c r="J63" s="10">
        <f t="shared" si="80"/>
        <v>37156.47</v>
      </c>
    </row>
    <row r="64" spans="1:39" x14ac:dyDescent="0.25">
      <c r="A64" s="11" t="s">
        <v>33</v>
      </c>
      <c r="G64" s="12">
        <v>5938.55</v>
      </c>
      <c r="H64" s="12">
        <v>3471.28</v>
      </c>
      <c r="J64" s="10">
        <f t="shared" si="80"/>
        <v>9409.83</v>
      </c>
    </row>
    <row r="65" spans="1:10" x14ac:dyDescent="0.25">
      <c r="A65" s="11" t="s">
        <v>34</v>
      </c>
      <c r="B65" s="12">
        <f>B61-B62-B63</f>
        <v>16505.79</v>
      </c>
      <c r="C65" s="12">
        <f>C61-C62-C63</f>
        <v>25043.090000000004</v>
      </c>
      <c r="D65" s="12">
        <f>D61-D62-D63</f>
        <v>10016.25</v>
      </c>
      <c r="E65" s="12">
        <f>E61-E62-E63</f>
        <v>12283.210000000001</v>
      </c>
      <c r="F65" s="12">
        <f>F61-F62-F63</f>
        <v>31312.94</v>
      </c>
      <c r="G65" s="12">
        <f t="shared" ref="G65:H65" si="81">G61-G62-G63</f>
        <v>49147.259999999995</v>
      </c>
      <c r="H65" s="12">
        <f t="shared" si="81"/>
        <v>25472.36</v>
      </c>
      <c r="J65" s="10">
        <f t="shared" si="80"/>
        <v>169780.89999999997</v>
      </c>
    </row>
    <row r="66" spans="1:10" ht="7.5" customHeight="1" x14ac:dyDescent="0.25">
      <c r="A66" s="13"/>
      <c r="B66" s="13"/>
      <c r="C66" s="13"/>
      <c r="D66" s="13"/>
      <c r="E66" s="13"/>
      <c r="F66" s="13"/>
      <c r="G66" s="13"/>
      <c r="H66" s="13"/>
      <c r="J66" s="14"/>
    </row>
    <row r="67" spans="1:10" x14ac:dyDescent="0.25">
      <c r="A67" s="11" t="s">
        <v>35</v>
      </c>
      <c r="B67" s="20">
        <v>184</v>
      </c>
      <c r="C67" s="20">
        <v>311</v>
      </c>
      <c r="D67" s="20">
        <v>114</v>
      </c>
      <c r="E67" s="20">
        <v>119</v>
      </c>
      <c r="F67" s="20">
        <v>372</v>
      </c>
      <c r="G67" s="20">
        <v>545</v>
      </c>
      <c r="H67" s="20">
        <v>272</v>
      </c>
      <c r="J67" s="34">
        <f t="shared" si="80"/>
        <v>1917</v>
      </c>
    </row>
    <row r="68" spans="1:10" x14ac:dyDescent="0.25">
      <c r="A68" s="11" t="s">
        <v>36</v>
      </c>
      <c r="B68" s="12">
        <f>B61/B67</f>
        <v>113.96625</v>
      </c>
      <c r="C68" s="12">
        <f>C61/C67</f>
        <v>107.35109324758844</v>
      </c>
      <c r="D68" s="12">
        <f>D61/D67</f>
        <v>117.75947368421052</v>
      </c>
      <c r="E68" s="12">
        <f>E61/E67</f>
        <v>129.95411764705884</v>
      </c>
      <c r="F68" s="12">
        <f>F61/F67</f>
        <v>109.83569892473118</v>
      </c>
      <c r="G68" s="12">
        <f t="shared" ref="G68:H68" si="82">G61/G67</f>
        <v>120.06988990825687</v>
      </c>
      <c r="H68" s="12">
        <f t="shared" si="82"/>
        <v>122.44540441176471</v>
      </c>
      <c r="J68" s="10">
        <f>AVERAGE(B68:H68)</f>
        <v>117.34027540337294</v>
      </c>
    </row>
    <row r="69" spans="1:10" x14ac:dyDescent="0.25">
      <c r="A69" s="11" t="s">
        <v>37</v>
      </c>
      <c r="B69" s="12">
        <f>(B61-B62)/B67</f>
        <v>108.08527173913045</v>
      </c>
      <c r="C69" s="12">
        <f>(C61-C62)/C67</f>
        <v>99.108971061093257</v>
      </c>
      <c r="D69" s="12">
        <f>(D61-D62)/D67</f>
        <v>108.87087719298246</v>
      </c>
      <c r="E69" s="12">
        <f>(E61-E62)/E67</f>
        <v>125.01638655462186</v>
      </c>
      <c r="F69" s="12">
        <f>(F61-F62)/F67</f>
        <v>103.22645161290322</v>
      </c>
      <c r="G69" s="12">
        <f t="shared" ref="G69:H69" si="83">(G61-G62)/G67</f>
        <v>108.53845871559633</v>
      </c>
      <c r="H69" s="12">
        <f t="shared" si="83"/>
        <v>115.38551470588236</v>
      </c>
      <c r="J69" s="10">
        <f t="shared" ref="J69:J70" si="84">AVERAGE(B69:H69)</f>
        <v>109.74741879745855</v>
      </c>
    </row>
    <row r="70" spans="1:10" ht="30" x14ac:dyDescent="0.25">
      <c r="A70" s="15" t="s">
        <v>38</v>
      </c>
      <c r="B70" s="12">
        <f>(B61-B62-B63)/B67</f>
        <v>89.705380434782612</v>
      </c>
      <c r="C70" s="12">
        <f>(C61-C62-C63)/C67</f>
        <v>80.524405144694541</v>
      </c>
      <c r="D70" s="12">
        <f>(D61-D62-D63)/D67</f>
        <v>87.861842105263165</v>
      </c>
      <c r="E70" s="12">
        <f>(E61-E62-E63)/E67</f>
        <v>103.22025210084034</v>
      </c>
      <c r="F70" s="12">
        <f>(F61-F62-F63)/F67</f>
        <v>84.174569892473116</v>
      </c>
      <c r="G70" s="12">
        <f t="shared" ref="G70:H70" si="85">(G61-G62-G63)/G67</f>
        <v>90.178458715596321</v>
      </c>
      <c r="H70" s="12">
        <f t="shared" si="85"/>
        <v>93.648382352941184</v>
      </c>
      <c r="J70" s="10">
        <f t="shared" si="84"/>
        <v>89.901898678084493</v>
      </c>
    </row>
    <row r="71" spans="1:10" ht="6" customHeight="1" x14ac:dyDescent="0.25">
      <c r="A71" s="13"/>
      <c r="B71" s="13"/>
      <c r="C71" s="13"/>
      <c r="D71" s="13"/>
      <c r="E71" s="13"/>
      <c r="F71" s="13"/>
      <c r="G71" s="13"/>
      <c r="H71" s="13"/>
      <c r="J71" s="14"/>
    </row>
    <row r="72" spans="1:10" ht="30" x14ac:dyDescent="0.25">
      <c r="A72" s="15" t="s">
        <v>39</v>
      </c>
      <c r="B72" s="12">
        <f>B68-B70</f>
        <v>24.260869565217391</v>
      </c>
      <c r="C72" s="12">
        <f>C68-C70</f>
        <v>26.826688102893897</v>
      </c>
      <c r="D72" s="12">
        <f>D68-D70</f>
        <v>29.897631578947355</v>
      </c>
      <c r="E72" s="12">
        <f>E68-E70</f>
        <v>26.733865546218496</v>
      </c>
      <c r="F72" s="12">
        <f>F68-F70</f>
        <v>25.66112903225806</v>
      </c>
      <c r="G72" s="12">
        <f t="shared" ref="G72:H72" si="86">G68-G70</f>
        <v>29.891431192660548</v>
      </c>
      <c r="H72" s="12">
        <f t="shared" si="86"/>
        <v>28.797022058823529</v>
      </c>
      <c r="J72" s="10">
        <f>AVERAGE(B72:H72)</f>
        <v>27.438376725288467</v>
      </c>
    </row>
    <row r="73" spans="1:10" ht="30" x14ac:dyDescent="0.25">
      <c r="A73" s="15" t="s">
        <v>40</v>
      </c>
      <c r="B73" s="12">
        <f>B69-B70</f>
        <v>18.379891304347836</v>
      </c>
      <c r="C73" s="12">
        <f>C69-C70</f>
        <v>18.584565916398716</v>
      </c>
      <c r="D73" s="12">
        <f>D69-D70</f>
        <v>21.009035087719298</v>
      </c>
      <c r="E73" s="12">
        <f>E69-E70</f>
        <v>21.796134453781519</v>
      </c>
      <c r="F73" s="12">
        <f>F69-F70</f>
        <v>19.051881720430103</v>
      </c>
      <c r="G73" s="12">
        <f t="shared" ref="G73:H73" si="87">G69-G70</f>
        <v>18.360000000000014</v>
      </c>
      <c r="H73" s="12">
        <f t="shared" si="87"/>
        <v>21.737132352941174</v>
      </c>
      <c r="J73" s="10">
        <f>AVERAGE(B73:H73)</f>
        <v>19.845520119374093</v>
      </c>
    </row>
    <row r="74" spans="1:10" x14ac:dyDescent="0.25">
      <c r="A74" s="59" t="s">
        <v>41</v>
      </c>
      <c r="B74" s="9">
        <f>B61/B67</f>
        <v>113.96625</v>
      </c>
      <c r="C74" s="9">
        <f>C61/C67</f>
        <v>107.35109324758844</v>
      </c>
      <c r="D74" s="9">
        <f>D61/D67</f>
        <v>117.75947368421052</v>
      </c>
      <c r="E74" s="9">
        <f>E61/E67</f>
        <v>129.95411764705884</v>
      </c>
      <c r="F74" s="9">
        <f>F61/F67</f>
        <v>109.83569892473118</v>
      </c>
      <c r="G74" s="9">
        <f t="shared" ref="G74:H74" si="88">G61/G67</f>
        <v>120.06988990825687</v>
      </c>
      <c r="H74" s="9">
        <f t="shared" si="88"/>
        <v>122.44540441176471</v>
      </c>
      <c r="J74" s="65">
        <f>J61/J67</f>
        <v>116.24789775691184</v>
      </c>
    </row>
    <row r="75" spans="1:10" x14ac:dyDescent="0.25">
      <c r="J75" s="2"/>
    </row>
    <row r="76" spans="1:10" x14ac:dyDescent="0.25">
      <c r="A76" s="22" t="s">
        <v>42</v>
      </c>
      <c r="B76" s="22" t="s">
        <v>105</v>
      </c>
      <c r="C76" s="22" t="s">
        <v>106</v>
      </c>
      <c r="D76" s="22" t="s">
        <v>107</v>
      </c>
      <c r="E76" s="22" t="s">
        <v>108</v>
      </c>
      <c r="F76" s="22" t="s">
        <v>109</v>
      </c>
      <c r="G76" s="22" t="s">
        <v>110</v>
      </c>
      <c r="H76" s="22" t="s">
        <v>111</v>
      </c>
      <c r="J76" s="5"/>
    </row>
    <row r="77" spans="1:10" ht="105" x14ac:dyDescent="0.25">
      <c r="A77" s="23" t="s">
        <v>15</v>
      </c>
      <c r="B77" s="24" t="s">
        <v>112</v>
      </c>
      <c r="C77" s="24" t="s">
        <v>113</v>
      </c>
      <c r="D77" s="24" t="s">
        <v>114</v>
      </c>
      <c r="E77" s="24" t="s">
        <v>114</v>
      </c>
      <c r="F77" s="24" t="s">
        <v>115</v>
      </c>
      <c r="G77" s="24" t="s">
        <v>116</v>
      </c>
      <c r="H77" s="24" t="s">
        <v>117</v>
      </c>
    </row>
    <row r="78" spans="1:10" ht="15.75" thickBot="1" x14ac:dyDescent="0.3">
      <c r="A78" s="25" t="s">
        <v>17</v>
      </c>
      <c r="B78" s="41" t="s">
        <v>118</v>
      </c>
      <c r="C78" s="41" t="s">
        <v>119</v>
      </c>
      <c r="D78" s="41" t="s">
        <v>120</v>
      </c>
      <c r="E78" s="41" t="s">
        <v>121</v>
      </c>
      <c r="F78" s="33" t="s">
        <v>122</v>
      </c>
      <c r="G78" s="33" t="s">
        <v>123</v>
      </c>
      <c r="H78" s="33" t="s">
        <v>124</v>
      </c>
      <c r="J78" s="7"/>
    </row>
    <row r="79" spans="1:10" x14ac:dyDescent="0.25">
      <c r="A79" s="26" t="s">
        <v>43</v>
      </c>
      <c r="B79" s="40">
        <v>134122.18</v>
      </c>
      <c r="C79" s="40">
        <v>187874.9</v>
      </c>
      <c r="D79" s="40">
        <v>68510.240000000005</v>
      </c>
      <c r="E79" s="40">
        <v>69886.19</v>
      </c>
      <c r="F79" s="27">
        <v>224615.69</v>
      </c>
      <c r="G79" s="27">
        <v>259373.06</v>
      </c>
      <c r="H79" s="27">
        <v>175835.78</v>
      </c>
      <c r="J79" s="10">
        <f>SUM(B79:H79)</f>
        <v>1120218.04</v>
      </c>
    </row>
    <row r="80" spans="1:10" x14ac:dyDescent="0.25">
      <c r="A80" s="28" t="s">
        <v>44</v>
      </c>
      <c r="B80" s="39">
        <v>0.1457</v>
      </c>
      <c r="C80" s="39">
        <v>0.14030000000000001</v>
      </c>
      <c r="D80" s="39">
        <v>0.1431</v>
      </c>
      <c r="E80" s="39">
        <v>0.1489</v>
      </c>
      <c r="F80" s="29">
        <v>0.1489</v>
      </c>
      <c r="G80" s="29">
        <v>0.14560000000000001</v>
      </c>
      <c r="H80" s="29">
        <v>0.1416</v>
      </c>
      <c r="J80" s="18">
        <f>AVERAGE(B80:H80)</f>
        <v>0.14487142857142857</v>
      </c>
    </row>
    <row r="81" spans="1:10" x14ac:dyDescent="0.25">
      <c r="A81" s="30" t="s">
        <v>45</v>
      </c>
      <c r="B81" s="38">
        <v>1377</v>
      </c>
      <c r="C81" s="38">
        <v>1995</v>
      </c>
      <c r="D81" s="38">
        <v>740</v>
      </c>
      <c r="E81" s="38">
        <v>743</v>
      </c>
      <c r="F81" s="31">
        <v>2441</v>
      </c>
      <c r="G81" s="53">
        <v>2552</v>
      </c>
      <c r="H81" s="53">
        <v>1733</v>
      </c>
      <c r="J81" s="34">
        <f t="shared" ref="J81:J82" si="89">SUM(B81:H81)</f>
        <v>11581</v>
      </c>
    </row>
    <row r="82" spans="1:10" x14ac:dyDescent="0.25">
      <c r="A82" s="51" t="s">
        <v>46</v>
      </c>
      <c r="G82" s="52">
        <v>27698.77</v>
      </c>
      <c r="H82" s="52">
        <v>22214.39</v>
      </c>
      <c r="J82" s="10">
        <f t="shared" si="89"/>
        <v>49913.16</v>
      </c>
    </row>
    <row r="83" spans="1:10" x14ac:dyDescent="0.25">
      <c r="A83" s="51" t="s">
        <v>41</v>
      </c>
      <c r="B83" s="40">
        <f>B79/B81</f>
        <v>97.401728395061724</v>
      </c>
      <c r="C83" s="40">
        <f>C79/C81</f>
        <v>94.172882205513787</v>
      </c>
      <c r="D83" s="40">
        <f>D79/D81</f>
        <v>92.581405405405405</v>
      </c>
      <c r="E83" s="40">
        <f>E79/E81</f>
        <v>94.059475100942123</v>
      </c>
      <c r="F83" s="40">
        <f>F79/F81</f>
        <v>92.017898402294136</v>
      </c>
      <c r="G83" s="40">
        <f t="shared" ref="G83:H83" si="90">G79/G81</f>
        <v>101.63521159874608</v>
      </c>
      <c r="H83" s="40">
        <f t="shared" si="90"/>
        <v>101.46323139065204</v>
      </c>
      <c r="J83" s="65">
        <f>J79/J81</f>
        <v>96.728956048700468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DC10-D1C4-4F44-834F-0876398EAD3D}">
  <dimension ref="A1:AG24"/>
  <sheetViews>
    <sheetView zoomScale="75" zoomScaleNormal="75" workbookViewId="0">
      <pane xSplit="1" topLeftCell="B1" activePane="topRight" state="frozen"/>
      <selection pane="topRight" activeCell="J8" sqref="J8"/>
    </sheetView>
  </sheetViews>
  <sheetFormatPr defaultRowHeight="15" x14ac:dyDescent="0.25"/>
  <cols>
    <col min="1" max="1" width="36.140625" customWidth="1"/>
    <col min="2" max="4" width="22.28515625" customWidth="1"/>
    <col min="5" max="5" width="24.42578125" customWidth="1"/>
    <col min="6" max="10" width="22.28515625" customWidth="1"/>
    <col min="11" max="11" width="5.42578125" customWidth="1"/>
    <col min="12" max="12" width="15.85546875" customWidth="1"/>
  </cols>
  <sheetData>
    <row r="1" spans="1:33" s="2" customFormat="1" x14ac:dyDescent="0.25">
      <c r="A1" s="1" t="s">
        <v>1</v>
      </c>
      <c r="B1" s="1" t="s">
        <v>67</v>
      </c>
      <c r="C1" s="1" t="s">
        <v>68</v>
      </c>
      <c r="D1" s="1" t="s">
        <v>48</v>
      </c>
      <c r="E1" s="1" t="s">
        <v>69</v>
      </c>
      <c r="F1" s="1" t="s">
        <v>13</v>
      </c>
      <c r="G1" s="1" t="s">
        <v>110</v>
      </c>
      <c r="H1" s="1" t="s">
        <v>125</v>
      </c>
      <c r="I1" s="1" t="s">
        <v>111</v>
      </c>
      <c r="J1" s="1" t="s">
        <v>126</v>
      </c>
      <c r="L1" s="2" t="s">
        <v>14</v>
      </c>
    </row>
    <row r="2" spans="1:33" s="5" customFormat="1" ht="95.25" customHeight="1" x14ac:dyDescent="0.25">
      <c r="A2" s="3" t="s">
        <v>15</v>
      </c>
      <c r="B2" s="17" t="s">
        <v>90</v>
      </c>
      <c r="C2" s="17" t="s">
        <v>91</v>
      </c>
      <c r="D2" s="17" t="s">
        <v>92</v>
      </c>
      <c r="E2" s="17" t="s">
        <v>93</v>
      </c>
      <c r="F2" s="17" t="s">
        <v>16</v>
      </c>
      <c r="G2" s="17" t="s">
        <v>116</v>
      </c>
      <c r="H2" s="17" t="s">
        <v>127</v>
      </c>
      <c r="I2" s="17" t="s">
        <v>117</v>
      </c>
      <c r="J2" s="17" t="s">
        <v>128</v>
      </c>
      <c r="K2" s="4"/>
    </row>
    <row r="3" spans="1:33" s="4" customFormat="1" ht="15.75" thickBot="1" x14ac:dyDescent="0.3">
      <c r="A3" s="6" t="s">
        <v>17</v>
      </c>
      <c r="B3" s="32" t="s">
        <v>102</v>
      </c>
      <c r="C3" s="32" t="s">
        <v>102</v>
      </c>
      <c r="D3" s="32" t="s">
        <v>102</v>
      </c>
      <c r="E3" s="32" t="s">
        <v>102</v>
      </c>
      <c r="F3" s="32" t="s">
        <v>29</v>
      </c>
      <c r="G3" s="32" t="s">
        <v>123</v>
      </c>
      <c r="H3" s="32" t="s">
        <v>129</v>
      </c>
      <c r="I3" s="32" t="s">
        <v>124</v>
      </c>
      <c r="J3" s="32" t="s">
        <v>130</v>
      </c>
      <c r="L3" s="7"/>
    </row>
    <row r="4" spans="1:33" x14ac:dyDescent="0.25">
      <c r="A4" s="8" t="s">
        <v>30</v>
      </c>
      <c r="B4" s="9">
        <v>1077.7</v>
      </c>
      <c r="C4" s="9">
        <v>345.35</v>
      </c>
      <c r="D4" s="9">
        <v>217.9</v>
      </c>
      <c r="E4" s="9">
        <v>2603.34</v>
      </c>
      <c r="F4" s="9">
        <v>15709.3</v>
      </c>
      <c r="G4" s="9">
        <v>65438.09</v>
      </c>
      <c r="H4" s="9">
        <v>16367.85</v>
      </c>
      <c r="I4" s="9">
        <v>33305.15</v>
      </c>
      <c r="J4" s="9">
        <v>226.89</v>
      </c>
      <c r="K4" s="10"/>
      <c r="L4" s="10">
        <f>SUM(B4:J4)</f>
        <v>135291.57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25">
      <c r="A5" s="11" t="s">
        <v>31</v>
      </c>
      <c r="B5" s="12">
        <v>11</v>
      </c>
      <c r="C5" s="12">
        <v>39.5</v>
      </c>
      <c r="D5" s="12">
        <v>11</v>
      </c>
      <c r="E5" s="12">
        <v>78</v>
      </c>
      <c r="F5" s="12">
        <v>1128.7</v>
      </c>
      <c r="G5" s="12">
        <v>6284.63</v>
      </c>
      <c r="H5" s="12">
        <v>1729.1</v>
      </c>
      <c r="I5" s="12">
        <v>1920.29</v>
      </c>
      <c r="J5" s="12">
        <v>12.5</v>
      </c>
      <c r="K5" s="10"/>
      <c r="L5" s="10">
        <f>SUM(B5:J5)</f>
        <v>11214.720000000001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x14ac:dyDescent="0.25">
      <c r="A6" s="11" t="s">
        <v>131</v>
      </c>
      <c r="B6" s="12">
        <v>232.99</v>
      </c>
      <c r="C6" s="12">
        <v>56.99</v>
      </c>
      <c r="D6" s="12">
        <v>17.989999999999998</v>
      </c>
      <c r="E6" s="12">
        <v>377.94</v>
      </c>
      <c r="F6" s="12">
        <v>2339.4299999999998</v>
      </c>
      <c r="G6" s="12">
        <v>10006.200000000001</v>
      </c>
      <c r="H6" s="12">
        <v>2235.79</v>
      </c>
      <c r="I6" s="12">
        <v>5912.5</v>
      </c>
      <c r="J6" s="12">
        <v>60</v>
      </c>
      <c r="K6" s="10"/>
      <c r="L6" s="10">
        <f>SUM(B6:J6)</f>
        <v>21239.83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x14ac:dyDescent="0.25">
      <c r="A7" s="11" t="s">
        <v>33</v>
      </c>
      <c r="B7" s="12">
        <v>160</v>
      </c>
      <c r="C7" s="12">
        <v>35</v>
      </c>
      <c r="D7" s="12">
        <v>10</v>
      </c>
      <c r="E7" s="12">
        <v>130</v>
      </c>
      <c r="F7" s="12">
        <v>1015</v>
      </c>
      <c r="G7" s="12">
        <v>5938.55</v>
      </c>
      <c r="H7" s="12">
        <v>1220</v>
      </c>
      <c r="I7" s="12">
        <v>3471.28</v>
      </c>
      <c r="J7" s="12">
        <v>330</v>
      </c>
      <c r="K7" s="10"/>
      <c r="L7" s="10">
        <f>SUM(B7:J7)</f>
        <v>12309.83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25">
      <c r="A8" s="11" t="s">
        <v>34</v>
      </c>
      <c r="B8" s="12">
        <f t="shared" ref="B8:C8" si="0">B4-B5-B6</f>
        <v>833.71</v>
      </c>
      <c r="C8" s="12">
        <f t="shared" si="0"/>
        <v>248.86</v>
      </c>
      <c r="D8" s="12">
        <f t="shared" ref="D8:E8" si="1">D4-D5-D6</f>
        <v>188.91</v>
      </c>
      <c r="E8" s="12">
        <f t="shared" si="1"/>
        <v>2147.4</v>
      </c>
      <c r="F8" s="12">
        <f t="shared" ref="F8:H8" si="2">F4-F5-F6</f>
        <v>12241.169999999998</v>
      </c>
      <c r="G8" s="12">
        <f t="shared" si="2"/>
        <v>49147.259999999995</v>
      </c>
      <c r="H8" s="12">
        <f t="shared" si="2"/>
        <v>12402.96</v>
      </c>
      <c r="I8" s="12">
        <f t="shared" ref="I8:J8" si="3">I4-I5-I6</f>
        <v>25472.36</v>
      </c>
      <c r="J8" s="12">
        <f t="shared" si="3"/>
        <v>154.38999999999999</v>
      </c>
      <c r="K8" s="10"/>
      <c r="L8" s="10">
        <f>SUM(B8:J8)</f>
        <v>102837.01999999999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s="14" customFormat="1" ht="5.4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33" x14ac:dyDescent="0.25">
      <c r="A10" s="11" t="s">
        <v>35</v>
      </c>
      <c r="B10" s="20">
        <v>16</v>
      </c>
      <c r="C10" s="20">
        <v>7</v>
      </c>
      <c r="D10" s="20">
        <v>2</v>
      </c>
      <c r="E10" s="20">
        <v>26</v>
      </c>
      <c r="F10" s="20">
        <v>145</v>
      </c>
      <c r="G10" s="20">
        <v>545</v>
      </c>
      <c r="H10" s="20">
        <v>122</v>
      </c>
      <c r="I10" s="20">
        <v>272</v>
      </c>
      <c r="J10" s="20">
        <v>5</v>
      </c>
      <c r="L10" s="34">
        <f>SUM(B10:J10)</f>
        <v>1140</v>
      </c>
    </row>
    <row r="11" spans="1:33" x14ac:dyDescent="0.25">
      <c r="A11" s="11" t="s">
        <v>36</v>
      </c>
      <c r="B11" s="12">
        <f t="shared" ref="B11:C11" si="4">B4/B10</f>
        <v>67.356250000000003</v>
      </c>
      <c r="C11" s="12">
        <f t="shared" si="4"/>
        <v>49.335714285714289</v>
      </c>
      <c r="D11" s="12">
        <f t="shared" ref="D11:E11" si="5">D4/D10</f>
        <v>108.95</v>
      </c>
      <c r="E11" s="12">
        <f t="shared" si="5"/>
        <v>100.12846153846155</v>
      </c>
      <c r="F11" s="12">
        <f t="shared" ref="F11:H11" si="6">F4/F10</f>
        <v>108.33999999999999</v>
      </c>
      <c r="G11" s="12">
        <f t="shared" si="6"/>
        <v>120.06988990825687</v>
      </c>
      <c r="H11" s="12">
        <f t="shared" si="6"/>
        <v>134.1627049180328</v>
      </c>
      <c r="I11" s="12">
        <f t="shared" ref="I11:J11" si="7">I4/I10</f>
        <v>122.44540441176471</v>
      </c>
      <c r="J11" s="12">
        <f t="shared" si="7"/>
        <v>45.378</v>
      </c>
      <c r="K11" s="10"/>
      <c r="L11" s="10">
        <f>AVERAGE(B11:J11)</f>
        <v>95.129602784692253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x14ac:dyDescent="0.25">
      <c r="A12" s="11" t="s">
        <v>37</v>
      </c>
      <c r="B12" s="12">
        <f t="shared" ref="B12:C12" si="8">(B4-B5)/B10</f>
        <v>66.668750000000003</v>
      </c>
      <c r="C12" s="12">
        <f t="shared" si="8"/>
        <v>43.692857142857143</v>
      </c>
      <c r="D12" s="12">
        <f t="shared" ref="D12:E12" si="9">(D4-D5)/D10</f>
        <v>103.45</v>
      </c>
      <c r="E12" s="12">
        <f t="shared" si="9"/>
        <v>97.128461538461551</v>
      </c>
      <c r="F12" s="12">
        <f t="shared" ref="F12:H12" si="10">(F4-F5)/F10</f>
        <v>100.55586206896551</v>
      </c>
      <c r="G12" s="12">
        <f t="shared" si="10"/>
        <v>108.53845871559633</v>
      </c>
      <c r="H12" s="12">
        <f t="shared" si="10"/>
        <v>119.98975409836065</v>
      </c>
      <c r="I12" s="12">
        <f t="shared" ref="I12:J12" si="11">(I4-I5)/I10</f>
        <v>115.38551470588236</v>
      </c>
      <c r="J12" s="12">
        <f t="shared" si="11"/>
        <v>42.878</v>
      </c>
      <c r="K12" s="10"/>
      <c r="L12" s="10">
        <f>AVERAGE(B12:J12)</f>
        <v>88.698628696680402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30" x14ac:dyDescent="0.25">
      <c r="A13" s="15" t="s">
        <v>38</v>
      </c>
      <c r="B13" s="12">
        <f t="shared" ref="B13:C13" si="12">(B4-B5-B6)/B10</f>
        <v>52.106875000000002</v>
      </c>
      <c r="C13" s="12">
        <f t="shared" si="12"/>
        <v>35.551428571428573</v>
      </c>
      <c r="D13" s="12">
        <f t="shared" ref="D13:E13" si="13">(D4-D5-D6)/D10</f>
        <v>94.454999999999998</v>
      </c>
      <c r="E13" s="12">
        <f t="shared" si="13"/>
        <v>82.592307692307699</v>
      </c>
      <c r="F13" s="12">
        <f t="shared" ref="F13:H13" si="14">(F4-F5-F6)/F10</f>
        <v>84.42186206896551</v>
      </c>
      <c r="G13" s="12">
        <f t="shared" si="14"/>
        <v>90.178458715596321</v>
      </c>
      <c r="H13" s="12">
        <f t="shared" si="14"/>
        <v>101.66360655737704</v>
      </c>
      <c r="I13" s="12">
        <f t="shared" ref="I13:J13" si="15">(I4-I5-I6)/I10</f>
        <v>93.648382352941184</v>
      </c>
      <c r="J13" s="12">
        <f t="shared" si="15"/>
        <v>30.877999999999997</v>
      </c>
      <c r="K13" s="10"/>
      <c r="L13" s="10">
        <f>AVERAGE(B13:J13)</f>
        <v>73.943991217624045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s="14" customFormat="1" ht="5.4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33" ht="30" x14ac:dyDescent="0.25">
      <c r="A15" s="15" t="s">
        <v>132</v>
      </c>
      <c r="B15" s="12">
        <f t="shared" ref="B15:C15" si="16">B11-B13</f>
        <v>15.249375000000001</v>
      </c>
      <c r="C15" s="12">
        <f t="shared" si="16"/>
        <v>13.784285714285716</v>
      </c>
      <c r="D15" s="12">
        <f t="shared" ref="D15:E15" si="17">D11-D13</f>
        <v>14.495000000000005</v>
      </c>
      <c r="E15" s="12">
        <f t="shared" si="17"/>
        <v>17.536153846153852</v>
      </c>
      <c r="F15" s="12">
        <f t="shared" ref="F15:H15" si="18">F11-F13</f>
        <v>23.918137931034479</v>
      </c>
      <c r="G15" s="12">
        <f t="shared" si="18"/>
        <v>29.891431192660548</v>
      </c>
      <c r="H15" s="12">
        <f t="shared" si="18"/>
        <v>32.499098360655765</v>
      </c>
      <c r="I15" s="12">
        <f t="shared" ref="I15:J15" si="19">I11-I13</f>
        <v>28.797022058823529</v>
      </c>
      <c r="J15" s="12">
        <f t="shared" si="19"/>
        <v>14.500000000000004</v>
      </c>
      <c r="K15" s="10"/>
      <c r="L15" s="10">
        <f>AVERAGE(B15:J15)</f>
        <v>21.185611567068211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30" x14ac:dyDescent="0.25">
      <c r="A16" s="15" t="s">
        <v>40</v>
      </c>
      <c r="B16" s="12">
        <f t="shared" ref="B16:C16" si="20">B12-B13</f>
        <v>14.561875000000001</v>
      </c>
      <c r="C16" s="12">
        <f t="shared" si="20"/>
        <v>8.1414285714285697</v>
      </c>
      <c r="D16" s="12">
        <f t="shared" ref="D16:E16" si="21">D12-D13</f>
        <v>8.9950000000000045</v>
      </c>
      <c r="E16" s="12">
        <f t="shared" si="21"/>
        <v>14.536153846153852</v>
      </c>
      <c r="F16" s="12">
        <f t="shared" ref="F16:H16" si="22">F12-F13</f>
        <v>16.134</v>
      </c>
      <c r="G16" s="12">
        <f t="shared" si="22"/>
        <v>18.360000000000014</v>
      </c>
      <c r="H16" s="12">
        <f t="shared" si="22"/>
        <v>18.326147540983612</v>
      </c>
      <c r="I16" s="12">
        <f t="shared" ref="I16:J16" si="23">I12-I13</f>
        <v>21.737132352941174</v>
      </c>
      <c r="J16" s="12">
        <f t="shared" si="23"/>
        <v>12.000000000000004</v>
      </c>
      <c r="K16" s="10"/>
      <c r="L16" s="10">
        <f>AVERAGE(B16:J16)</f>
        <v>14.75463747905636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8" spans="1:19" x14ac:dyDescent="0.25">
      <c r="A18" s="22" t="s">
        <v>42</v>
      </c>
      <c r="B18" s="22" t="s">
        <v>67</v>
      </c>
      <c r="C18" s="22" t="s">
        <v>68</v>
      </c>
      <c r="D18" s="22" t="s">
        <v>48</v>
      </c>
      <c r="E18" s="22" t="s">
        <v>69</v>
      </c>
      <c r="F18" s="22" t="s">
        <v>13</v>
      </c>
      <c r="G18" s="22" t="s">
        <v>110</v>
      </c>
      <c r="H18" s="22" t="s">
        <v>125</v>
      </c>
      <c r="I18" s="22" t="s">
        <v>111</v>
      </c>
      <c r="J18" s="2"/>
      <c r="K18" s="2"/>
      <c r="L18" s="2"/>
    </row>
    <row r="19" spans="1:19" ht="88.5" customHeight="1" x14ac:dyDescent="0.25">
      <c r="A19" s="23" t="s">
        <v>15</v>
      </c>
      <c r="B19" s="24" t="s">
        <v>90</v>
      </c>
      <c r="C19" s="24" t="s">
        <v>91</v>
      </c>
      <c r="D19" s="24" t="s">
        <v>92</v>
      </c>
      <c r="E19" s="24" t="s">
        <v>93</v>
      </c>
      <c r="F19" s="24" t="s">
        <v>16</v>
      </c>
      <c r="G19" s="24" t="s">
        <v>116</v>
      </c>
      <c r="H19" s="24" t="s">
        <v>127</v>
      </c>
      <c r="I19" s="24" t="s">
        <v>117</v>
      </c>
      <c r="J19" s="35"/>
      <c r="K19" s="35"/>
      <c r="L19" s="5"/>
      <c r="S19" s="19"/>
    </row>
    <row r="20" spans="1:19" ht="15.75" thickBot="1" x14ac:dyDescent="0.3">
      <c r="A20" s="25" t="s">
        <v>17</v>
      </c>
      <c r="B20" s="33" t="s">
        <v>102</v>
      </c>
      <c r="C20" s="33" t="s">
        <v>102</v>
      </c>
      <c r="D20" s="33" t="s">
        <v>102</v>
      </c>
      <c r="E20" s="33" t="s">
        <v>102</v>
      </c>
      <c r="F20" s="33" t="s">
        <v>29</v>
      </c>
      <c r="G20" s="33" t="s">
        <v>123</v>
      </c>
      <c r="H20" s="33" t="s">
        <v>129</v>
      </c>
      <c r="I20" s="33" t="s">
        <v>124</v>
      </c>
      <c r="J20" s="7"/>
      <c r="K20" s="7"/>
      <c r="L20" s="7"/>
    </row>
    <row r="21" spans="1:19" s="16" customFormat="1" x14ac:dyDescent="0.25">
      <c r="A21" s="26" t="s">
        <v>43</v>
      </c>
      <c r="B21" s="27">
        <v>6782.69</v>
      </c>
      <c r="C21" s="27">
        <v>298.58999999999997</v>
      </c>
      <c r="D21" s="27">
        <v>813.68</v>
      </c>
      <c r="E21" s="27">
        <v>4401.63</v>
      </c>
      <c r="F21" s="27">
        <v>172283.41</v>
      </c>
      <c r="G21" s="27">
        <v>259373.06</v>
      </c>
      <c r="H21" s="27">
        <v>60583.92</v>
      </c>
      <c r="I21" s="27">
        <v>175835.78</v>
      </c>
      <c r="L21" s="16">
        <f>SUM(B21:J21)</f>
        <v>680372.76</v>
      </c>
    </row>
    <row r="22" spans="1:19" s="18" customFormat="1" x14ac:dyDescent="0.25">
      <c r="A22" s="28" t="s">
        <v>44</v>
      </c>
      <c r="B22" s="29">
        <v>0.3115</v>
      </c>
      <c r="C22" s="29">
        <v>9.2999999999999999E-2</v>
      </c>
      <c r="D22" s="29">
        <v>0.16300000000000001</v>
      </c>
      <c r="E22" s="29">
        <v>9.4E-2</v>
      </c>
      <c r="F22" s="29">
        <v>0.13250000000000001</v>
      </c>
      <c r="G22" s="29">
        <v>0.14560000000000001</v>
      </c>
      <c r="H22" s="29">
        <v>0.26119999999999999</v>
      </c>
      <c r="I22" s="29">
        <v>0.1416</v>
      </c>
      <c r="J22" s="36"/>
      <c r="K22" s="36"/>
      <c r="L22" s="18">
        <f>AVERAGE(B22:J22)</f>
        <v>0.1678</v>
      </c>
    </row>
    <row r="23" spans="1:19" x14ac:dyDescent="0.25">
      <c r="A23" s="57" t="s">
        <v>45</v>
      </c>
      <c r="B23" s="53">
        <v>68</v>
      </c>
      <c r="C23" s="53">
        <v>6</v>
      </c>
      <c r="D23" s="53">
        <v>12</v>
      </c>
      <c r="E23" s="53">
        <v>39</v>
      </c>
      <c r="F23" s="53">
        <v>2229</v>
      </c>
      <c r="G23" s="53">
        <v>2552</v>
      </c>
      <c r="H23" s="53">
        <v>420</v>
      </c>
      <c r="I23" s="53">
        <v>1733</v>
      </c>
      <c r="J23" s="37"/>
      <c r="K23" s="37"/>
      <c r="L23" s="21">
        <f>SUM(B23:J23)</f>
        <v>7059</v>
      </c>
    </row>
    <row r="24" spans="1:19" x14ac:dyDescent="0.25">
      <c r="A24" s="51" t="s">
        <v>46</v>
      </c>
      <c r="B24" s="56">
        <v>690</v>
      </c>
      <c r="C24" s="52">
        <v>30</v>
      </c>
      <c r="D24" s="52">
        <v>60</v>
      </c>
      <c r="E24" s="52">
        <v>240</v>
      </c>
      <c r="F24" s="54">
        <v>15603</v>
      </c>
      <c r="G24" s="52">
        <v>27698.77</v>
      </c>
      <c r="H24" s="55">
        <v>4210</v>
      </c>
      <c r="I24" s="52">
        <v>22214.39</v>
      </c>
      <c r="L24" s="16">
        <f>SUM(B24:J24)</f>
        <v>70746.16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05E9-2C99-47EC-A8E0-D1FF2946E78B}">
  <dimension ref="A1:AB22"/>
  <sheetViews>
    <sheetView zoomScale="75" zoomScaleNormal="75" workbookViewId="0">
      <pane xSplit="1" topLeftCell="B1" activePane="topRight" state="frozen"/>
      <selection pane="topRight" activeCell="C17" sqref="C17:C22"/>
    </sheetView>
  </sheetViews>
  <sheetFormatPr defaultRowHeight="15" x14ac:dyDescent="0.25"/>
  <cols>
    <col min="1" max="1" width="30.7109375" customWidth="1"/>
    <col min="2" max="5" width="22.28515625" customWidth="1"/>
    <col min="6" max="6" width="5.42578125" customWidth="1"/>
    <col min="7" max="7" width="15.85546875" customWidth="1"/>
  </cols>
  <sheetData>
    <row r="1" spans="1:28" s="2" customFormat="1" x14ac:dyDescent="0.25">
      <c r="A1" s="1" t="s">
        <v>1</v>
      </c>
      <c r="B1" s="1" t="s">
        <v>12</v>
      </c>
      <c r="C1" s="1" t="s">
        <v>109</v>
      </c>
      <c r="D1" s="1" t="s">
        <v>133</v>
      </c>
      <c r="E1" s="1"/>
      <c r="G1" s="2" t="s">
        <v>14</v>
      </c>
    </row>
    <row r="2" spans="1:28" s="5" customFormat="1" ht="95.25" customHeight="1" x14ac:dyDescent="0.25">
      <c r="A2" s="3" t="s">
        <v>15</v>
      </c>
      <c r="B2" s="17" t="s">
        <v>16</v>
      </c>
      <c r="C2" s="17" t="s">
        <v>115</v>
      </c>
      <c r="D2" s="17" t="s">
        <v>134</v>
      </c>
      <c r="E2" s="17"/>
      <c r="F2" s="4"/>
    </row>
    <row r="3" spans="1:28" s="4" customFormat="1" ht="15.75" thickBot="1" x14ac:dyDescent="0.3">
      <c r="A3" s="6" t="s">
        <v>17</v>
      </c>
      <c r="B3" s="32" t="s">
        <v>28</v>
      </c>
      <c r="C3" s="32" t="s">
        <v>122</v>
      </c>
      <c r="D3" s="32" t="s">
        <v>135</v>
      </c>
      <c r="E3" s="32"/>
      <c r="G3" s="7"/>
    </row>
    <row r="4" spans="1:28" x14ac:dyDescent="0.25">
      <c r="A4" s="8" t="s">
        <v>30</v>
      </c>
      <c r="B4" s="9">
        <v>10055.700000000001</v>
      </c>
      <c r="C4" s="9">
        <v>40858.879999999997</v>
      </c>
      <c r="D4" s="9">
        <v>1414.14</v>
      </c>
      <c r="E4" s="9"/>
      <c r="F4" s="10"/>
      <c r="G4" s="10">
        <f>SUM(B4:E4)</f>
        <v>52328.72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x14ac:dyDescent="0.25">
      <c r="A5" s="11" t="s">
        <v>31</v>
      </c>
      <c r="B5" s="12">
        <v>711.39</v>
      </c>
      <c r="C5" s="12">
        <v>2458.64</v>
      </c>
      <c r="D5" s="12">
        <v>113.98</v>
      </c>
      <c r="E5" s="12"/>
      <c r="F5" s="10"/>
      <c r="G5" s="10">
        <f>SUM(B5:E5)</f>
        <v>3284.0099999999998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A6" s="11" t="s">
        <v>136</v>
      </c>
      <c r="B6" s="12">
        <v>1653.09</v>
      </c>
      <c r="C6" s="12">
        <v>7087.3</v>
      </c>
      <c r="D6" s="12">
        <v>230.94</v>
      </c>
      <c r="E6" s="12"/>
      <c r="F6" s="10"/>
      <c r="G6" s="10">
        <f>SUM(B6:E6)</f>
        <v>8971.33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5">
      <c r="A7" s="11" t="s">
        <v>34</v>
      </c>
      <c r="B7" s="12">
        <f>B4-B5-B6</f>
        <v>7691.2200000000012</v>
      </c>
      <c r="C7" s="12">
        <f>C4-C5-C6</f>
        <v>31312.94</v>
      </c>
      <c r="D7" s="12">
        <f>D4-D5-D6</f>
        <v>1069.22</v>
      </c>
      <c r="E7" s="12"/>
      <c r="F7" s="10"/>
      <c r="G7" s="10">
        <f>SUM(B7:E7)</f>
        <v>40073.380000000005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s="14" customFormat="1" ht="5.45" customHeight="1" x14ac:dyDescent="0.25">
      <c r="A8" s="13"/>
      <c r="B8" s="13"/>
      <c r="C8" s="13"/>
      <c r="D8" s="13"/>
      <c r="E8" s="13"/>
    </row>
    <row r="9" spans="1:28" x14ac:dyDescent="0.25">
      <c r="A9" s="11" t="s">
        <v>35</v>
      </c>
      <c r="B9" s="20">
        <v>100</v>
      </c>
      <c r="C9" s="20">
        <v>372</v>
      </c>
      <c r="D9" s="20">
        <v>12</v>
      </c>
      <c r="E9" s="12"/>
      <c r="G9" s="34">
        <f>SUM(B9:E9)</f>
        <v>484</v>
      </c>
    </row>
    <row r="10" spans="1:28" x14ac:dyDescent="0.25">
      <c r="A10" s="11" t="s">
        <v>36</v>
      </c>
      <c r="B10" s="12">
        <f>B4/B9</f>
        <v>100.557</v>
      </c>
      <c r="C10" s="12">
        <f>C4/C9</f>
        <v>109.83569892473118</v>
      </c>
      <c r="D10" s="12">
        <f>D4/D9</f>
        <v>117.84500000000001</v>
      </c>
      <c r="E10" s="12"/>
      <c r="F10" s="10"/>
      <c r="G10" s="10">
        <f>AVERAGE(B10:E10)</f>
        <v>109.41256630824374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5">
      <c r="A11" s="11" t="s">
        <v>37</v>
      </c>
      <c r="B11" s="12">
        <f>(B4-B5)/B9</f>
        <v>93.443100000000015</v>
      </c>
      <c r="C11" s="12">
        <f>(C4-C5)/C9</f>
        <v>103.22645161290322</v>
      </c>
      <c r="D11" s="12">
        <f>(D4-D5)/D9</f>
        <v>108.34666666666668</v>
      </c>
      <c r="E11" s="12"/>
      <c r="F11" s="10"/>
      <c r="G11" s="10">
        <f>AVERAGE(B11:E11)</f>
        <v>101.67207275985663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30" x14ac:dyDescent="0.25">
      <c r="A12" s="15" t="s">
        <v>38</v>
      </c>
      <c r="B12" s="12">
        <f>(B4-B5-B6)/B9</f>
        <v>76.912200000000013</v>
      </c>
      <c r="C12" s="12">
        <f>(C4-C5-C6)/C9</f>
        <v>84.174569892473116</v>
      </c>
      <c r="D12" s="12">
        <f>(D4-D5-D6)/D9</f>
        <v>89.101666666666674</v>
      </c>
      <c r="E12" s="12"/>
      <c r="F12" s="10"/>
      <c r="G12" s="10">
        <f>AVERAGE(B12:E12)</f>
        <v>83.396145519713272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s="14" customFormat="1" ht="5.45" customHeight="1" x14ac:dyDescent="0.25">
      <c r="A13" s="13"/>
      <c r="B13" s="13"/>
      <c r="C13" s="13"/>
      <c r="D13" s="13"/>
      <c r="E13" s="13"/>
    </row>
    <row r="14" spans="1:28" ht="30" x14ac:dyDescent="0.25">
      <c r="A14" s="15" t="s">
        <v>39</v>
      </c>
      <c r="B14" s="12">
        <f>B10-B12</f>
        <v>23.644799999999989</v>
      </c>
      <c r="C14" s="12">
        <f>C10-C12</f>
        <v>25.66112903225806</v>
      </c>
      <c r="D14" s="12">
        <f>D10-D12</f>
        <v>28.743333333333339</v>
      </c>
      <c r="E14" s="12"/>
      <c r="F14" s="10"/>
      <c r="G14" s="10">
        <f>AVERAGE(B14:E14)</f>
        <v>26.016420788530464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30" x14ac:dyDescent="0.25">
      <c r="A15" s="15" t="s">
        <v>40</v>
      </c>
      <c r="B15" s="12">
        <f>B11-B12</f>
        <v>16.530900000000003</v>
      </c>
      <c r="C15" s="12">
        <f>C11-C12</f>
        <v>19.051881720430103</v>
      </c>
      <c r="D15" s="12">
        <f>D11-D12</f>
        <v>19.245000000000005</v>
      </c>
      <c r="E15" s="12"/>
      <c r="F15" s="10"/>
      <c r="G15" s="10">
        <f>AVERAGE(B15:E15)</f>
        <v>18.275927240143371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7" spans="1:14" x14ac:dyDescent="0.25">
      <c r="A17" s="22" t="s">
        <v>42</v>
      </c>
      <c r="B17" s="22" t="s">
        <v>12</v>
      </c>
      <c r="C17" s="22" t="s">
        <v>109</v>
      </c>
      <c r="D17" s="22" t="s">
        <v>133</v>
      </c>
      <c r="E17" s="22" t="s">
        <v>137</v>
      </c>
      <c r="F17" s="2"/>
      <c r="G17" s="2"/>
    </row>
    <row r="18" spans="1:14" ht="88.5" customHeight="1" x14ac:dyDescent="0.25">
      <c r="A18" s="23" t="s">
        <v>15</v>
      </c>
      <c r="B18" s="24" t="s">
        <v>16</v>
      </c>
      <c r="C18" s="24" t="s">
        <v>115</v>
      </c>
      <c r="D18" s="24" t="s">
        <v>134</v>
      </c>
      <c r="E18" s="24" t="s">
        <v>138</v>
      </c>
      <c r="F18" s="35"/>
      <c r="G18" s="5"/>
      <c r="N18" s="19"/>
    </row>
    <row r="19" spans="1:14" ht="15.75" thickBot="1" x14ac:dyDescent="0.3">
      <c r="A19" s="25" t="s">
        <v>17</v>
      </c>
      <c r="B19" s="33" t="s">
        <v>28</v>
      </c>
      <c r="C19" s="33" t="s">
        <v>122</v>
      </c>
      <c r="D19" s="33" t="s">
        <v>135</v>
      </c>
      <c r="E19" s="33" t="s">
        <v>28</v>
      </c>
      <c r="F19" s="7"/>
      <c r="G19" s="7"/>
    </row>
    <row r="20" spans="1:14" s="16" customFormat="1" x14ac:dyDescent="0.25">
      <c r="A20" s="26" t="s">
        <v>43</v>
      </c>
      <c r="B20" s="27">
        <v>136882.64000000001</v>
      </c>
      <c r="C20" s="27">
        <v>224615.69</v>
      </c>
      <c r="D20" s="27">
        <v>13901.48</v>
      </c>
      <c r="E20" s="27">
        <v>36862.57</v>
      </c>
      <c r="G20" s="16">
        <f>SUM(B20:E20)</f>
        <v>412262.38</v>
      </c>
    </row>
    <row r="21" spans="1:14" s="18" customFormat="1" x14ac:dyDescent="0.25">
      <c r="A21" s="28" t="s">
        <v>44</v>
      </c>
      <c r="B21" s="29">
        <v>0.1331</v>
      </c>
      <c r="C21" s="29">
        <v>0.1489</v>
      </c>
      <c r="D21" s="29">
        <v>9.4500000000000001E-2</v>
      </c>
      <c r="E21" s="29">
        <v>0.21149999999999999</v>
      </c>
      <c r="F21" s="36"/>
      <c r="G21" s="18">
        <f>AVERAGE(B21:E21)</f>
        <v>0.14700000000000002</v>
      </c>
    </row>
    <row r="22" spans="1:14" x14ac:dyDescent="0.25">
      <c r="A22" s="30" t="s">
        <v>45</v>
      </c>
      <c r="B22" s="31">
        <v>1862</v>
      </c>
      <c r="C22" s="31">
        <v>2441</v>
      </c>
      <c r="D22" s="31">
        <v>125</v>
      </c>
      <c r="E22" s="31">
        <v>347</v>
      </c>
      <c r="F22" s="37"/>
      <c r="G22" s="21">
        <f>SUM(B22:E22)</f>
        <v>4775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E33F-F6C9-454E-8D1C-C625CB502C62}">
  <dimension ref="A1:AE22"/>
  <sheetViews>
    <sheetView zoomScale="72" zoomScaleNormal="72" workbookViewId="0">
      <pane xSplit="1" topLeftCell="B1" activePane="topRight" state="frozen"/>
      <selection pane="topRight" activeCell="G17" sqref="G17:G22"/>
    </sheetView>
  </sheetViews>
  <sheetFormatPr defaultRowHeight="15" x14ac:dyDescent="0.25"/>
  <cols>
    <col min="1" max="1" width="30.7109375" customWidth="1"/>
    <col min="2" max="8" width="22.28515625" customWidth="1"/>
    <col min="9" max="9" width="5.42578125" customWidth="1"/>
    <col min="10" max="10" width="15.85546875" customWidth="1"/>
  </cols>
  <sheetData>
    <row r="1" spans="1:31" s="2" customFormat="1" x14ac:dyDescent="0.25">
      <c r="A1" s="1" t="s">
        <v>1</v>
      </c>
      <c r="B1" s="1" t="s">
        <v>63</v>
      </c>
      <c r="C1" s="1" t="s">
        <v>57</v>
      </c>
      <c r="D1" s="1" t="s">
        <v>64</v>
      </c>
      <c r="E1" s="1" t="s">
        <v>65</v>
      </c>
      <c r="F1" s="1" t="s">
        <v>66</v>
      </c>
      <c r="G1" s="1" t="s">
        <v>11</v>
      </c>
      <c r="H1" s="1"/>
      <c r="J1" s="2" t="s">
        <v>14</v>
      </c>
    </row>
    <row r="2" spans="1:31" s="5" customFormat="1" ht="95.25" customHeight="1" x14ac:dyDescent="0.25">
      <c r="A2" s="3" t="s">
        <v>15</v>
      </c>
      <c r="B2" s="17" t="s">
        <v>85</v>
      </c>
      <c r="C2" s="17" t="s">
        <v>86</v>
      </c>
      <c r="D2" s="17" t="s">
        <v>87</v>
      </c>
      <c r="E2" s="17" t="s">
        <v>88</v>
      </c>
      <c r="F2" s="17" t="s">
        <v>89</v>
      </c>
      <c r="G2" s="17" t="s">
        <v>16</v>
      </c>
      <c r="H2" s="17"/>
      <c r="I2" s="4"/>
    </row>
    <row r="3" spans="1:31" s="4" customFormat="1" ht="15.75" thickBot="1" x14ac:dyDescent="0.3">
      <c r="A3" s="6" t="s">
        <v>17</v>
      </c>
      <c r="B3" s="32" t="s">
        <v>101</v>
      </c>
      <c r="C3" s="32" t="s">
        <v>101</v>
      </c>
      <c r="D3" s="32" t="s">
        <v>101</v>
      </c>
      <c r="E3" s="32" t="s">
        <v>101</v>
      </c>
      <c r="F3" s="32" t="s">
        <v>101</v>
      </c>
      <c r="G3" s="32" t="s">
        <v>27</v>
      </c>
      <c r="H3" s="32"/>
      <c r="J3" s="7"/>
    </row>
    <row r="4" spans="1:31" x14ac:dyDescent="0.25">
      <c r="A4" s="8" t="s">
        <v>30</v>
      </c>
      <c r="B4" s="9">
        <v>85.98</v>
      </c>
      <c r="C4" s="9">
        <v>826.61</v>
      </c>
      <c r="D4" s="9">
        <v>441.39</v>
      </c>
      <c r="E4" s="9">
        <v>1141.49</v>
      </c>
      <c r="F4" s="9">
        <v>141.91999999999999</v>
      </c>
      <c r="G4" s="9">
        <v>11525.01</v>
      </c>
      <c r="H4" s="9"/>
      <c r="I4" s="10"/>
      <c r="J4" s="10">
        <f>SUM(B4:H4)</f>
        <v>14162.400000000001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x14ac:dyDescent="0.25">
      <c r="A5" s="11" t="s">
        <v>31</v>
      </c>
      <c r="B5" s="12">
        <v>4</v>
      </c>
      <c r="C5" s="12">
        <v>38</v>
      </c>
      <c r="D5" s="12">
        <v>21.5</v>
      </c>
      <c r="E5" s="12">
        <v>73.8</v>
      </c>
      <c r="F5" s="12">
        <v>15</v>
      </c>
      <c r="G5" s="12">
        <v>780.15</v>
      </c>
      <c r="H5" s="12"/>
      <c r="I5" s="10"/>
      <c r="J5" s="10">
        <f>SUM(B5:H5)</f>
        <v>932.45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x14ac:dyDescent="0.25">
      <c r="A6" s="11" t="s">
        <v>136</v>
      </c>
      <c r="B6" s="12">
        <v>5</v>
      </c>
      <c r="C6" s="12">
        <v>84</v>
      </c>
      <c r="D6" s="12">
        <v>70</v>
      </c>
      <c r="E6" s="12">
        <v>147.99</v>
      </c>
      <c r="F6" s="12">
        <v>2</v>
      </c>
      <c r="G6" s="12">
        <v>1812.27</v>
      </c>
      <c r="H6" s="12"/>
      <c r="I6" s="10"/>
      <c r="J6" s="10">
        <f>SUM(B6:H6)</f>
        <v>2121.2600000000002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25">
      <c r="A7" s="11" t="s">
        <v>34</v>
      </c>
      <c r="B7" s="12">
        <f t="shared" ref="B7:G7" si="0">B4-B5-B6</f>
        <v>76.98</v>
      </c>
      <c r="C7" s="12">
        <f t="shared" si="0"/>
        <v>704.61</v>
      </c>
      <c r="D7" s="12">
        <f t="shared" si="0"/>
        <v>349.89</v>
      </c>
      <c r="E7" s="12">
        <f t="shared" si="0"/>
        <v>919.7</v>
      </c>
      <c r="F7" s="12">
        <f t="shared" si="0"/>
        <v>124.91999999999999</v>
      </c>
      <c r="G7" s="12">
        <f t="shared" si="0"/>
        <v>8932.59</v>
      </c>
      <c r="H7" s="12"/>
      <c r="I7" s="10"/>
      <c r="J7" s="10">
        <f>SUM(B7:H7)</f>
        <v>11108.69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14" customFormat="1" ht="5.45" customHeight="1" x14ac:dyDescent="0.25">
      <c r="A8" s="13"/>
      <c r="B8" s="13"/>
      <c r="C8" s="13"/>
      <c r="D8" s="13"/>
      <c r="E8" s="13"/>
      <c r="F8" s="13"/>
      <c r="G8" s="13"/>
      <c r="H8" s="13"/>
    </row>
    <row r="9" spans="1:31" x14ac:dyDescent="0.25">
      <c r="A9" s="11" t="s">
        <v>35</v>
      </c>
      <c r="B9" s="20">
        <v>1</v>
      </c>
      <c r="C9" s="20">
        <v>8</v>
      </c>
      <c r="D9" s="20">
        <v>6</v>
      </c>
      <c r="E9" s="20">
        <v>13</v>
      </c>
      <c r="F9" s="20">
        <v>1</v>
      </c>
      <c r="G9" s="20">
        <v>112</v>
      </c>
      <c r="H9" s="12"/>
      <c r="J9" s="34">
        <f>SUM(B9:H9)</f>
        <v>141</v>
      </c>
    </row>
    <row r="10" spans="1:31" x14ac:dyDescent="0.25">
      <c r="A10" s="11" t="s">
        <v>36</v>
      </c>
      <c r="B10" s="12">
        <f t="shared" ref="B10:G10" si="1">B4/B9</f>
        <v>85.98</v>
      </c>
      <c r="C10" s="12">
        <f t="shared" si="1"/>
        <v>103.32625</v>
      </c>
      <c r="D10" s="12">
        <f t="shared" si="1"/>
        <v>73.564999999999998</v>
      </c>
      <c r="E10" s="12">
        <f t="shared" si="1"/>
        <v>87.806923076923084</v>
      </c>
      <c r="F10" s="12">
        <f t="shared" si="1"/>
        <v>141.91999999999999</v>
      </c>
      <c r="G10" s="12">
        <f t="shared" si="1"/>
        <v>102.901875</v>
      </c>
      <c r="H10" s="12"/>
      <c r="I10" s="10"/>
      <c r="J10" s="10">
        <f>AVERAGE(B10:H10)</f>
        <v>99.250008012820516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5">
      <c r="A11" s="11" t="s">
        <v>37</v>
      </c>
      <c r="B11" s="12">
        <f t="shared" ref="B11:G11" si="2">(B4-B5)/B9</f>
        <v>81.98</v>
      </c>
      <c r="C11" s="12">
        <f t="shared" si="2"/>
        <v>98.576250000000002</v>
      </c>
      <c r="D11" s="12">
        <f t="shared" si="2"/>
        <v>69.981666666666669</v>
      </c>
      <c r="E11" s="12">
        <f t="shared" si="2"/>
        <v>82.13000000000001</v>
      </c>
      <c r="F11" s="12">
        <f t="shared" si="2"/>
        <v>126.91999999999999</v>
      </c>
      <c r="G11" s="12">
        <f t="shared" si="2"/>
        <v>95.936250000000001</v>
      </c>
      <c r="H11" s="12"/>
      <c r="I11" s="10"/>
      <c r="J11" s="10">
        <f>AVERAGE(B11:H11)</f>
        <v>92.587361111111093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30" x14ac:dyDescent="0.25">
      <c r="A12" s="15" t="s">
        <v>38</v>
      </c>
      <c r="B12" s="12">
        <f t="shared" ref="B12:G12" si="3">(B4-B5-B6)/B9</f>
        <v>76.98</v>
      </c>
      <c r="C12" s="12">
        <f t="shared" si="3"/>
        <v>88.076250000000002</v>
      </c>
      <c r="D12" s="12">
        <f t="shared" si="3"/>
        <v>58.314999999999998</v>
      </c>
      <c r="E12" s="12">
        <f t="shared" si="3"/>
        <v>70.746153846153845</v>
      </c>
      <c r="F12" s="12">
        <f t="shared" si="3"/>
        <v>124.91999999999999</v>
      </c>
      <c r="G12" s="12">
        <f t="shared" si="3"/>
        <v>79.755267857142854</v>
      </c>
      <c r="H12" s="12"/>
      <c r="I12" s="10"/>
      <c r="J12" s="10">
        <f>AVERAGE(B12:H12)</f>
        <v>83.132111950549429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14" customFormat="1" ht="5.45" customHeight="1" x14ac:dyDescent="0.25">
      <c r="A13" s="13"/>
      <c r="B13" s="13"/>
      <c r="C13" s="13"/>
      <c r="D13" s="13"/>
      <c r="E13" s="13"/>
      <c r="F13" s="13"/>
      <c r="G13" s="13"/>
      <c r="H13" s="13"/>
    </row>
    <row r="14" spans="1:31" ht="30" x14ac:dyDescent="0.25">
      <c r="A14" s="15" t="s">
        <v>39</v>
      </c>
      <c r="B14" s="12">
        <f t="shared" ref="B14:G14" si="4">B10-B12</f>
        <v>9</v>
      </c>
      <c r="C14" s="12">
        <f t="shared" si="4"/>
        <v>15.25</v>
      </c>
      <c r="D14" s="12">
        <f t="shared" si="4"/>
        <v>15.25</v>
      </c>
      <c r="E14" s="12">
        <f t="shared" si="4"/>
        <v>17.060769230769239</v>
      </c>
      <c r="F14" s="12">
        <f t="shared" si="4"/>
        <v>17</v>
      </c>
      <c r="G14" s="12">
        <f t="shared" si="4"/>
        <v>23.14660714285715</v>
      </c>
      <c r="H14" s="12"/>
      <c r="I14" s="10"/>
      <c r="J14" s="10">
        <f>AVERAGE(B14:H14)</f>
        <v>16.117896062271065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30" x14ac:dyDescent="0.25">
      <c r="A15" s="15" t="s">
        <v>40</v>
      </c>
      <c r="B15" s="12">
        <f t="shared" ref="B15:G15" si="5">B11-B12</f>
        <v>5</v>
      </c>
      <c r="C15" s="12">
        <f t="shared" si="5"/>
        <v>10.5</v>
      </c>
      <c r="D15" s="12">
        <f t="shared" si="5"/>
        <v>11.666666666666671</v>
      </c>
      <c r="E15" s="12">
        <f t="shared" si="5"/>
        <v>11.383846153846164</v>
      </c>
      <c r="F15" s="12">
        <f t="shared" si="5"/>
        <v>2</v>
      </c>
      <c r="G15" s="12">
        <f t="shared" si="5"/>
        <v>16.180982142857147</v>
      </c>
      <c r="H15" s="12"/>
      <c r="I15" s="10"/>
      <c r="J15" s="10">
        <f>AVERAGE(B15:H15)</f>
        <v>9.4552491605616638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7" spans="1:17" x14ac:dyDescent="0.25">
      <c r="A17" s="22" t="s">
        <v>42</v>
      </c>
      <c r="B17" s="22" t="s">
        <v>63</v>
      </c>
      <c r="C17" s="22" t="s">
        <v>57</v>
      </c>
      <c r="D17" s="22" t="s">
        <v>64</v>
      </c>
      <c r="E17" s="22" t="s">
        <v>65</v>
      </c>
      <c r="F17" s="22" t="s">
        <v>66</v>
      </c>
      <c r="G17" s="22" t="s">
        <v>11</v>
      </c>
      <c r="H17" s="22" t="s">
        <v>139</v>
      </c>
      <c r="I17" s="2"/>
      <c r="J17" s="2"/>
    </row>
    <row r="18" spans="1:17" ht="88.5" customHeight="1" x14ac:dyDescent="0.25">
      <c r="A18" s="23" t="s">
        <v>15</v>
      </c>
      <c r="B18" s="24" t="s">
        <v>85</v>
      </c>
      <c r="C18" s="24" t="s">
        <v>86</v>
      </c>
      <c r="D18" s="24" t="s">
        <v>87</v>
      </c>
      <c r="E18" s="24" t="s">
        <v>88</v>
      </c>
      <c r="F18" s="24" t="s">
        <v>89</v>
      </c>
      <c r="G18" s="24" t="s">
        <v>16</v>
      </c>
      <c r="H18" s="24" t="s">
        <v>138</v>
      </c>
      <c r="I18" s="35"/>
      <c r="J18" s="5"/>
      <c r="Q18" s="19"/>
    </row>
    <row r="19" spans="1:17" ht="15.75" thickBot="1" x14ac:dyDescent="0.3">
      <c r="A19" s="25" t="s">
        <v>17</v>
      </c>
      <c r="B19" s="33" t="s">
        <v>101</v>
      </c>
      <c r="C19" s="33" t="s">
        <v>101</v>
      </c>
      <c r="D19" s="33" t="s">
        <v>101</v>
      </c>
      <c r="E19" s="33" t="s">
        <v>101</v>
      </c>
      <c r="F19" s="33" t="s">
        <v>101</v>
      </c>
      <c r="G19" s="33" t="s">
        <v>27</v>
      </c>
      <c r="H19" s="33" t="s">
        <v>27</v>
      </c>
      <c r="I19" s="7"/>
      <c r="J19" s="7"/>
    </row>
    <row r="20" spans="1:17" s="16" customFormat="1" x14ac:dyDescent="0.25">
      <c r="A20" s="26" t="s">
        <v>43</v>
      </c>
      <c r="B20" s="27">
        <v>1176.99</v>
      </c>
      <c r="C20" s="27">
        <v>1354.69</v>
      </c>
      <c r="D20" s="27">
        <v>1034.3399999999999</v>
      </c>
      <c r="E20" s="27">
        <v>401.23</v>
      </c>
      <c r="F20" s="27">
        <v>290.85000000000002</v>
      </c>
      <c r="G20" s="27">
        <v>128018.54</v>
      </c>
      <c r="H20" s="27">
        <v>23980.99</v>
      </c>
      <c r="J20" s="16">
        <f>SUM(B20:H20)</f>
        <v>156257.62999999998</v>
      </c>
    </row>
    <row r="21" spans="1:17" s="18" customFormat="1" x14ac:dyDescent="0.25">
      <c r="A21" s="28" t="s">
        <v>44</v>
      </c>
      <c r="B21" s="29">
        <v>0.25719999999999998</v>
      </c>
      <c r="C21" s="29">
        <v>0.23749999999999999</v>
      </c>
      <c r="D21" s="29">
        <v>0.214</v>
      </c>
      <c r="E21" s="29">
        <v>7.7100000000000002E-2</v>
      </c>
      <c r="F21" s="29">
        <v>0.2321</v>
      </c>
      <c r="G21" s="29">
        <v>0.1525</v>
      </c>
      <c r="H21" s="29">
        <v>0.25019999999999998</v>
      </c>
      <c r="I21" s="36"/>
      <c r="J21" s="18">
        <f>AVERAGE(B21:H21)</f>
        <v>0.20294285714285715</v>
      </c>
    </row>
    <row r="22" spans="1:17" x14ac:dyDescent="0.25">
      <c r="A22" s="30" t="s">
        <v>45</v>
      </c>
      <c r="B22" s="31">
        <v>16</v>
      </c>
      <c r="C22" s="31">
        <v>21</v>
      </c>
      <c r="D22" s="31">
        <v>15</v>
      </c>
      <c r="E22" s="31">
        <v>7</v>
      </c>
      <c r="F22" s="31">
        <v>3</v>
      </c>
      <c r="G22" s="31">
        <v>1790</v>
      </c>
      <c r="H22" s="31">
        <v>258</v>
      </c>
      <c r="I22" s="37"/>
      <c r="J22" s="21">
        <f>SUM(B22:H22)</f>
        <v>2110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E03D-A1CF-4B68-B0BF-12610186033E}">
  <dimension ref="A1:AE22"/>
  <sheetViews>
    <sheetView zoomScale="72" zoomScaleNormal="72" workbookViewId="0">
      <pane xSplit="1" topLeftCell="B1" activePane="topRight" state="frozen"/>
      <selection pane="topRight" activeCell="F17" sqref="F17:F22"/>
    </sheetView>
  </sheetViews>
  <sheetFormatPr defaultRowHeight="15" x14ac:dyDescent="0.25"/>
  <cols>
    <col min="1" max="1" width="30.7109375" customWidth="1"/>
    <col min="2" max="7" width="22.28515625" customWidth="1"/>
    <col min="8" max="8" width="26.28515625" customWidth="1"/>
    <col min="9" max="9" width="5.42578125" customWidth="1"/>
    <col min="10" max="10" width="15.85546875" customWidth="1"/>
  </cols>
  <sheetData>
    <row r="1" spans="1:31" s="2" customFormat="1" x14ac:dyDescent="0.25">
      <c r="A1" s="1" t="s">
        <v>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10</v>
      </c>
      <c r="G1" s="1"/>
      <c r="H1" s="1" t="s">
        <v>140</v>
      </c>
      <c r="J1" s="2" t="s">
        <v>14</v>
      </c>
    </row>
    <row r="2" spans="1:31" s="5" customFormat="1" ht="95.25" customHeight="1" x14ac:dyDescent="0.25">
      <c r="A2" s="3" t="s">
        <v>15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16</v>
      </c>
      <c r="G2" s="17"/>
      <c r="H2" s="17" t="s">
        <v>141</v>
      </c>
      <c r="I2" s="4"/>
    </row>
    <row r="3" spans="1:31" s="4" customFormat="1" ht="15.75" thickBot="1" x14ac:dyDescent="0.3">
      <c r="A3" s="6" t="s">
        <v>17</v>
      </c>
      <c r="B3" s="32" t="s">
        <v>100</v>
      </c>
      <c r="C3" s="32" t="s">
        <v>100</v>
      </c>
      <c r="D3" s="32" t="s">
        <v>100</v>
      </c>
      <c r="E3" s="32" t="s">
        <v>100</v>
      </c>
      <c r="F3" s="32" t="s">
        <v>26</v>
      </c>
      <c r="G3" s="32"/>
      <c r="H3" s="32" t="s">
        <v>142</v>
      </c>
      <c r="J3" s="7"/>
    </row>
    <row r="4" spans="1:31" x14ac:dyDescent="0.25">
      <c r="A4" s="8" t="s">
        <v>30</v>
      </c>
      <c r="B4" s="9">
        <v>2214.4299999999998</v>
      </c>
      <c r="C4" s="9">
        <v>696.91</v>
      </c>
      <c r="D4" s="9">
        <v>1768.56</v>
      </c>
      <c r="E4" s="9">
        <v>1785.5</v>
      </c>
      <c r="F4" s="9">
        <v>17714.169999999998</v>
      </c>
      <c r="G4" s="9"/>
      <c r="H4" s="9">
        <v>0</v>
      </c>
      <c r="I4" s="10"/>
      <c r="J4" s="10">
        <f>SUM(B4:H4)</f>
        <v>24179.57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x14ac:dyDescent="0.25">
      <c r="A5" s="11" t="s">
        <v>31</v>
      </c>
      <c r="B5" s="12">
        <v>45</v>
      </c>
      <c r="C5" s="12">
        <v>37</v>
      </c>
      <c r="D5" s="12">
        <v>94.95</v>
      </c>
      <c r="E5" s="12">
        <v>48</v>
      </c>
      <c r="F5" s="12">
        <v>1454.52</v>
      </c>
      <c r="G5" s="12"/>
      <c r="H5" s="12">
        <v>0</v>
      </c>
      <c r="I5" s="10"/>
      <c r="J5" s="10">
        <f>SUM(B5:H5)</f>
        <v>1679.47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x14ac:dyDescent="0.25">
      <c r="A6" s="11" t="s">
        <v>136</v>
      </c>
      <c r="B6" s="12">
        <v>589.91999999999996</v>
      </c>
      <c r="C6" s="12">
        <v>95</v>
      </c>
      <c r="D6" s="12">
        <v>267.99</v>
      </c>
      <c r="E6" s="12">
        <v>488.94</v>
      </c>
      <c r="F6" s="12">
        <v>2923.79</v>
      </c>
      <c r="G6" s="12"/>
      <c r="H6" s="12">
        <v>0</v>
      </c>
      <c r="I6" s="10"/>
      <c r="J6" s="10">
        <f>SUM(B6:H6)</f>
        <v>4365.6399999999994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25">
      <c r="A7" s="11" t="s">
        <v>34</v>
      </c>
      <c r="B7" s="12">
        <f>B4-B5-B6</f>
        <v>1579.5099999999998</v>
      </c>
      <c r="C7" s="12">
        <f>C4-C5-C6</f>
        <v>564.91</v>
      </c>
      <c r="D7" s="12">
        <f>D4-D5-D6</f>
        <v>1405.62</v>
      </c>
      <c r="E7" s="12">
        <f>E4-E5-E6</f>
        <v>1248.56</v>
      </c>
      <c r="F7" s="12">
        <f>F4-F5-F6</f>
        <v>13335.859999999997</v>
      </c>
      <c r="G7" s="12"/>
      <c r="H7" s="12">
        <f>H4-H5-H6</f>
        <v>0</v>
      </c>
      <c r="I7" s="10"/>
      <c r="J7" s="10">
        <f>SUM(B7:H7)</f>
        <v>18134.459999999995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14" customFormat="1" ht="5.45" customHeight="1" x14ac:dyDescent="0.25">
      <c r="A8" s="13"/>
      <c r="B8" s="13"/>
      <c r="C8" s="13"/>
      <c r="D8" s="13"/>
      <c r="E8" s="13"/>
      <c r="F8" s="13"/>
      <c r="G8" s="13"/>
      <c r="H8" s="13"/>
    </row>
    <row r="9" spans="1:31" x14ac:dyDescent="0.25">
      <c r="A9" s="11" t="s">
        <v>35</v>
      </c>
      <c r="B9" s="20">
        <v>21</v>
      </c>
      <c r="C9" s="20">
        <v>6</v>
      </c>
      <c r="D9" s="20">
        <v>26</v>
      </c>
      <c r="E9" s="20">
        <v>22</v>
      </c>
      <c r="F9" s="20">
        <v>197</v>
      </c>
      <c r="G9" s="12"/>
      <c r="H9" s="20">
        <v>0</v>
      </c>
      <c r="J9" s="34">
        <f>SUM(B9:H9)</f>
        <v>272</v>
      </c>
    </row>
    <row r="10" spans="1:31" x14ac:dyDescent="0.25">
      <c r="A10" s="11" t="s">
        <v>36</v>
      </c>
      <c r="B10" s="12">
        <f>B4/B9</f>
        <v>105.4490476190476</v>
      </c>
      <c r="C10" s="12">
        <f>C4/C9</f>
        <v>116.15166666666666</v>
      </c>
      <c r="D10" s="12">
        <f>D4/D9</f>
        <v>68.021538461538455</v>
      </c>
      <c r="E10" s="12">
        <f>E4/E9</f>
        <v>81.159090909090907</v>
      </c>
      <c r="F10" s="12">
        <f>F4/F9</f>
        <v>89.919644670050758</v>
      </c>
      <c r="G10" s="12"/>
      <c r="H10" s="12" t="s">
        <v>143</v>
      </c>
      <c r="I10" s="10"/>
      <c r="J10" s="10">
        <f>AVERAGE(B10:H10)</f>
        <v>92.140197665278876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5">
      <c r="A11" s="11" t="s">
        <v>37</v>
      </c>
      <c r="B11" s="12">
        <f>(B4-B5)/B9</f>
        <v>103.30619047619047</v>
      </c>
      <c r="C11" s="12">
        <f>(C4-C5)/C9</f>
        <v>109.985</v>
      </c>
      <c r="D11" s="12">
        <f>(D4-D5)/D9</f>
        <v>64.369615384615386</v>
      </c>
      <c r="E11" s="12">
        <f>(E4-E5)/E9</f>
        <v>78.977272727272734</v>
      </c>
      <c r="F11" s="12">
        <f>(F4-F5)/F9</f>
        <v>82.536294416243649</v>
      </c>
      <c r="G11" s="12"/>
      <c r="H11" s="12" t="s">
        <v>143</v>
      </c>
      <c r="I11" s="10"/>
      <c r="J11" s="10">
        <f>AVERAGE(B11:H11)</f>
        <v>87.834874600864453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30" x14ac:dyDescent="0.25">
      <c r="A12" s="15" t="s">
        <v>38</v>
      </c>
      <c r="B12" s="12">
        <f>(B4-B5-B6)/B9</f>
        <v>75.2147619047619</v>
      </c>
      <c r="C12" s="12">
        <f>(C4-C5-C6)/C9</f>
        <v>94.151666666666657</v>
      </c>
      <c r="D12" s="12">
        <f>(D4-D5-D6)/D9</f>
        <v>54.062307692307691</v>
      </c>
      <c r="E12" s="12">
        <f>(E4-E5-E6)/E9</f>
        <v>56.75272727272727</v>
      </c>
      <c r="F12" s="12">
        <f>(F4-F5-F6)/F9</f>
        <v>67.694720812182723</v>
      </c>
      <c r="G12" s="12"/>
      <c r="H12" s="12" t="s">
        <v>143</v>
      </c>
      <c r="I12" s="10"/>
      <c r="J12" s="10">
        <f>AVERAGE(B12:H12)</f>
        <v>69.575236869729252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14" customFormat="1" ht="5.45" customHeight="1" x14ac:dyDescent="0.25">
      <c r="A13" s="13"/>
      <c r="B13" s="13"/>
      <c r="C13" s="13"/>
      <c r="D13" s="13"/>
      <c r="E13" s="13"/>
      <c r="F13" s="13"/>
      <c r="G13" s="13"/>
      <c r="H13" s="13"/>
    </row>
    <row r="14" spans="1:31" ht="30" x14ac:dyDescent="0.25">
      <c r="A14" s="15" t="s">
        <v>39</v>
      </c>
      <c r="B14" s="12">
        <f>B10-B12</f>
        <v>30.234285714285704</v>
      </c>
      <c r="C14" s="12">
        <f>C10-C12</f>
        <v>22</v>
      </c>
      <c r="D14" s="12">
        <f>D10-D12</f>
        <v>13.959230769230764</v>
      </c>
      <c r="E14" s="12">
        <f>E10-E12</f>
        <v>24.406363636363636</v>
      </c>
      <c r="F14" s="12">
        <f>F10-F12</f>
        <v>22.224923857868035</v>
      </c>
      <c r="G14" s="12"/>
      <c r="H14" s="12" t="s">
        <v>143</v>
      </c>
      <c r="I14" s="10"/>
      <c r="J14" s="10">
        <f>AVERAGE(B14:H14)</f>
        <v>22.564960795549631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30" x14ac:dyDescent="0.25">
      <c r="A15" s="15" t="s">
        <v>40</v>
      </c>
      <c r="B15" s="12">
        <f>B11-B12</f>
        <v>28.091428571428565</v>
      </c>
      <c r="C15" s="12">
        <f>C11-C12</f>
        <v>15.833333333333343</v>
      </c>
      <c r="D15" s="12">
        <f>D11-D12</f>
        <v>10.307307692307695</v>
      </c>
      <c r="E15" s="12">
        <f>E11-E12</f>
        <v>22.224545454545463</v>
      </c>
      <c r="F15" s="12">
        <f>F11-F12</f>
        <v>14.841573604060926</v>
      </c>
      <c r="G15" s="12"/>
      <c r="H15" s="12" t="s">
        <v>143</v>
      </c>
      <c r="I15" s="10"/>
      <c r="J15" s="10">
        <f>AVERAGE(B15:H15)</f>
        <v>18.2596377311352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7" spans="1:17" x14ac:dyDescent="0.25">
      <c r="A17" s="22" t="s">
        <v>42</v>
      </c>
      <c r="B17" s="22" t="s">
        <v>59</v>
      </c>
      <c r="C17" s="22" t="s">
        <v>60</v>
      </c>
      <c r="D17" s="22" t="s">
        <v>61</v>
      </c>
      <c r="E17" s="22" t="s">
        <v>62</v>
      </c>
      <c r="F17" s="22" t="s">
        <v>10</v>
      </c>
      <c r="G17" s="22" t="s">
        <v>144</v>
      </c>
      <c r="H17" s="22" t="s">
        <v>140</v>
      </c>
      <c r="I17" s="2"/>
      <c r="J17" s="2"/>
    </row>
    <row r="18" spans="1:17" ht="88.5" customHeight="1" x14ac:dyDescent="0.25">
      <c r="A18" s="23" t="s">
        <v>15</v>
      </c>
      <c r="B18" s="24" t="s">
        <v>81</v>
      </c>
      <c r="C18" s="24" t="s">
        <v>82</v>
      </c>
      <c r="D18" s="24" t="s">
        <v>83</v>
      </c>
      <c r="E18" s="24" t="s">
        <v>84</v>
      </c>
      <c r="F18" s="24" t="s">
        <v>16</v>
      </c>
      <c r="G18" s="24" t="s">
        <v>138</v>
      </c>
      <c r="H18" s="24" t="s">
        <v>141</v>
      </c>
      <c r="I18" s="35"/>
      <c r="J18" s="5"/>
      <c r="Q18" s="19"/>
    </row>
    <row r="19" spans="1:17" ht="15.75" thickBot="1" x14ac:dyDescent="0.3">
      <c r="A19" s="25" t="s">
        <v>17</v>
      </c>
      <c r="B19" s="33" t="s">
        <v>100</v>
      </c>
      <c r="C19" s="33" t="s">
        <v>100</v>
      </c>
      <c r="D19" s="33" t="s">
        <v>100</v>
      </c>
      <c r="E19" s="33" t="s">
        <v>100</v>
      </c>
      <c r="F19" s="33" t="s">
        <v>26</v>
      </c>
      <c r="G19" s="33" t="s">
        <v>26</v>
      </c>
      <c r="H19" s="33" t="s">
        <v>142</v>
      </c>
      <c r="I19" s="7"/>
      <c r="J19" s="7"/>
    </row>
    <row r="20" spans="1:17" s="16" customFormat="1" x14ac:dyDescent="0.25">
      <c r="A20" s="26" t="s">
        <v>43</v>
      </c>
      <c r="B20" s="27">
        <v>2525.8200000000002</v>
      </c>
      <c r="C20" s="27">
        <v>895.16</v>
      </c>
      <c r="D20" s="27">
        <v>2592.4299999999998</v>
      </c>
      <c r="E20" s="27">
        <v>1766.34</v>
      </c>
      <c r="F20" s="27">
        <v>167907.13</v>
      </c>
      <c r="G20" s="27">
        <v>30701.15</v>
      </c>
      <c r="H20" s="27">
        <v>331.81</v>
      </c>
      <c r="J20" s="16">
        <f>SUM(B20:H20)</f>
        <v>206719.84</v>
      </c>
    </row>
    <row r="21" spans="1:17" s="18" customFormat="1" x14ac:dyDescent="0.25">
      <c r="A21" s="28" t="s">
        <v>44</v>
      </c>
      <c r="B21" s="29">
        <v>0.16039999999999999</v>
      </c>
      <c r="C21" s="29">
        <v>1.77E-2</v>
      </c>
      <c r="D21" s="29">
        <v>0.1507</v>
      </c>
      <c r="E21" s="29">
        <v>0.16819999999999999</v>
      </c>
      <c r="F21" s="29">
        <v>0.1401</v>
      </c>
      <c r="G21" s="29">
        <v>0.2321</v>
      </c>
      <c r="H21" s="29">
        <v>0.34279999999999999</v>
      </c>
      <c r="I21" s="36"/>
      <c r="J21" s="18">
        <f>AVERAGE(B21:H21)</f>
        <v>0.17314285714285713</v>
      </c>
    </row>
    <row r="22" spans="1:17" x14ac:dyDescent="0.25">
      <c r="A22" s="30" t="s">
        <v>45</v>
      </c>
      <c r="B22" s="31">
        <v>30</v>
      </c>
      <c r="C22" s="31">
        <v>11</v>
      </c>
      <c r="D22" s="31">
        <v>45</v>
      </c>
      <c r="E22" s="31">
        <v>35</v>
      </c>
      <c r="F22" s="31">
        <v>2547</v>
      </c>
      <c r="G22" s="31">
        <v>340</v>
      </c>
      <c r="H22" s="31">
        <v>3</v>
      </c>
      <c r="I22" s="37"/>
      <c r="J22" s="21">
        <f>SUM(B22:H22)</f>
        <v>3011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086B-16BA-4A1C-ABA1-B36BEC312D67}">
  <dimension ref="A1:AA22"/>
  <sheetViews>
    <sheetView topLeftCell="A3" zoomScale="93" zoomScaleNormal="93" workbookViewId="0">
      <pane xSplit="1" topLeftCell="B1" activePane="topRight" state="frozen"/>
      <selection pane="topRight" activeCell="C17" sqref="C17:C22"/>
    </sheetView>
  </sheetViews>
  <sheetFormatPr defaultRowHeight="15" x14ac:dyDescent="0.25"/>
  <cols>
    <col min="1" max="1" width="30.7109375" customWidth="1"/>
    <col min="2" max="4" width="22.28515625" customWidth="1"/>
    <col min="5" max="5" width="5.42578125" customWidth="1"/>
    <col min="6" max="6" width="15.85546875" customWidth="1"/>
  </cols>
  <sheetData>
    <row r="1" spans="1:27" s="2" customFormat="1" x14ac:dyDescent="0.25">
      <c r="A1" s="1" t="s">
        <v>1</v>
      </c>
      <c r="B1" s="1" t="s">
        <v>58</v>
      </c>
      <c r="C1" s="1" t="s">
        <v>9</v>
      </c>
      <c r="D1" s="1" t="s">
        <v>145</v>
      </c>
      <c r="F1" s="2" t="s">
        <v>14</v>
      </c>
    </row>
    <row r="2" spans="1:27" s="5" customFormat="1" ht="95.25" customHeight="1" x14ac:dyDescent="0.25">
      <c r="A2" s="3" t="s">
        <v>15</v>
      </c>
      <c r="B2" s="17" t="s">
        <v>80</v>
      </c>
      <c r="C2" s="17" t="s">
        <v>16</v>
      </c>
      <c r="D2" s="17" t="s">
        <v>146</v>
      </c>
      <c r="E2" s="4"/>
    </row>
    <row r="3" spans="1:27" s="4" customFormat="1" ht="15.75" thickBot="1" x14ac:dyDescent="0.3">
      <c r="A3" s="6" t="s">
        <v>17</v>
      </c>
      <c r="B3" s="32" t="s">
        <v>99</v>
      </c>
      <c r="C3" s="32" t="s">
        <v>25</v>
      </c>
      <c r="D3" s="32" t="s">
        <v>147</v>
      </c>
      <c r="F3" s="7"/>
    </row>
    <row r="4" spans="1:27" x14ac:dyDescent="0.25">
      <c r="A4" s="8" t="s">
        <v>30</v>
      </c>
      <c r="B4" s="9">
        <v>2403.6799999999998</v>
      </c>
      <c r="C4" s="9">
        <v>19389.580000000002</v>
      </c>
      <c r="D4" s="9">
        <v>0</v>
      </c>
      <c r="E4" s="10"/>
      <c r="F4" s="10">
        <f>SUM(B4:D4)</f>
        <v>21793.260000000002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5">
      <c r="A5" s="11" t="s">
        <v>31</v>
      </c>
      <c r="B5" s="12">
        <v>292.43</v>
      </c>
      <c r="C5" s="12">
        <v>1545.63</v>
      </c>
      <c r="D5" s="12">
        <v>0</v>
      </c>
      <c r="E5" s="10"/>
      <c r="F5" s="10">
        <f>SUM(B5:D5)</f>
        <v>1838.0600000000002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5">
      <c r="A6" s="11" t="s">
        <v>136</v>
      </c>
      <c r="B6" s="12">
        <v>330.94</v>
      </c>
      <c r="C6" s="12">
        <v>2920.09</v>
      </c>
      <c r="D6" s="12">
        <v>0</v>
      </c>
      <c r="E6" s="10"/>
      <c r="F6" s="10">
        <f>SUM(B6:D6)</f>
        <v>3251.03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1" t="s">
        <v>34</v>
      </c>
      <c r="B7" s="12">
        <f>B4-B5-B6</f>
        <v>1780.31</v>
      </c>
      <c r="C7" s="12">
        <f>C4-C5-C6</f>
        <v>14923.86</v>
      </c>
      <c r="D7" s="12">
        <f>D4-D5-D6</f>
        <v>0</v>
      </c>
      <c r="E7" s="10"/>
      <c r="F7" s="10">
        <f>SUM(B7:D7)</f>
        <v>16704.170000000002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14" customFormat="1" ht="5.45" customHeight="1" x14ac:dyDescent="0.25">
      <c r="A8" s="13"/>
      <c r="B8" s="13"/>
      <c r="C8" s="13"/>
      <c r="D8" s="13"/>
    </row>
    <row r="9" spans="1:27" x14ac:dyDescent="0.25">
      <c r="A9" s="11" t="s">
        <v>35</v>
      </c>
      <c r="B9" s="20">
        <v>26</v>
      </c>
      <c r="C9" s="20">
        <v>204</v>
      </c>
      <c r="D9" s="20">
        <v>0</v>
      </c>
      <c r="F9" s="34">
        <f>SUM(B9:D9)</f>
        <v>230</v>
      </c>
    </row>
    <row r="10" spans="1:27" x14ac:dyDescent="0.25">
      <c r="A10" s="11" t="s">
        <v>36</v>
      </c>
      <c r="B10" s="12">
        <f>B4/B9</f>
        <v>92.449230769230766</v>
      </c>
      <c r="C10" s="12">
        <f>C4/C9</f>
        <v>95.04696078431374</v>
      </c>
      <c r="D10" s="12" t="s">
        <v>143</v>
      </c>
      <c r="E10" s="10"/>
      <c r="F10" s="10">
        <f>AVERAGE(B10:D10)</f>
        <v>93.74809577677226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1" t="s">
        <v>37</v>
      </c>
      <c r="B11" s="12">
        <f>(B4-B5)/B9</f>
        <v>81.20192307692308</v>
      </c>
      <c r="C11" s="12">
        <f>(C4-C5)/C9</f>
        <v>87.470343137254901</v>
      </c>
      <c r="D11" s="12" t="s">
        <v>143</v>
      </c>
      <c r="E11" s="10"/>
      <c r="F11" s="10">
        <f>AVERAGE(B11:D11)</f>
        <v>84.336133107088983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30" x14ac:dyDescent="0.25">
      <c r="A12" s="15" t="s">
        <v>38</v>
      </c>
      <c r="B12" s="12">
        <f>(B4-B5-B6)/B9</f>
        <v>68.473461538461535</v>
      </c>
      <c r="C12" s="12">
        <f>(C4-C5-C6)/C9</f>
        <v>73.156176470588235</v>
      </c>
      <c r="D12" s="12" t="s">
        <v>143</v>
      </c>
      <c r="E12" s="10"/>
      <c r="F12" s="10">
        <f>AVERAGE(B12:D12)</f>
        <v>70.814819004524878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s="14" customFormat="1" ht="5.45" customHeight="1" x14ac:dyDescent="0.25">
      <c r="A13" s="13"/>
      <c r="B13" s="13"/>
      <c r="C13" s="13"/>
      <c r="D13" s="13"/>
    </row>
    <row r="14" spans="1:27" ht="30" x14ac:dyDescent="0.25">
      <c r="A14" s="15" t="s">
        <v>39</v>
      </c>
      <c r="B14" s="12">
        <f>B10-B12</f>
        <v>23.975769230769231</v>
      </c>
      <c r="C14" s="12">
        <f>C10-C12</f>
        <v>21.890784313725504</v>
      </c>
      <c r="D14" s="12" t="s">
        <v>143</v>
      </c>
      <c r="E14" s="10"/>
      <c r="F14" s="10">
        <f>AVERAGE(B14:D14)</f>
        <v>22.933276772247368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30" x14ac:dyDescent="0.25">
      <c r="A15" s="15" t="s">
        <v>40</v>
      </c>
      <c r="B15" s="12">
        <f>B11-B12</f>
        <v>12.728461538461545</v>
      </c>
      <c r="C15" s="12">
        <f>C11-C12</f>
        <v>14.314166666666665</v>
      </c>
      <c r="D15" s="12" t="s">
        <v>143</v>
      </c>
      <c r="E15" s="10"/>
      <c r="F15" s="10">
        <f>AVERAGE(B15:D15)</f>
        <v>13.521314102564105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7" spans="1:13" x14ac:dyDescent="0.25">
      <c r="A17" s="22" t="s">
        <v>42</v>
      </c>
      <c r="B17" s="22" t="s">
        <v>58</v>
      </c>
      <c r="C17" s="22" t="s">
        <v>9</v>
      </c>
      <c r="D17" s="22" t="s">
        <v>145</v>
      </c>
      <c r="E17" s="2"/>
      <c r="F17" s="2"/>
    </row>
    <row r="18" spans="1:13" ht="88.5" customHeight="1" x14ac:dyDescent="0.25">
      <c r="A18" s="23" t="s">
        <v>15</v>
      </c>
      <c r="B18" s="24" t="s">
        <v>80</v>
      </c>
      <c r="C18" s="24" t="s">
        <v>16</v>
      </c>
      <c r="D18" s="24" t="s">
        <v>146</v>
      </c>
      <c r="E18" s="35"/>
      <c r="F18" s="5"/>
      <c r="M18" s="19"/>
    </row>
    <row r="19" spans="1:13" ht="15.75" thickBot="1" x14ac:dyDescent="0.3">
      <c r="A19" s="25" t="s">
        <v>17</v>
      </c>
      <c r="B19" s="33" t="s">
        <v>99</v>
      </c>
      <c r="C19" s="33" t="s">
        <v>25</v>
      </c>
      <c r="D19" s="33" t="s">
        <v>147</v>
      </c>
      <c r="E19" s="7"/>
      <c r="F19" s="7"/>
    </row>
    <row r="20" spans="1:13" s="16" customFormat="1" x14ac:dyDescent="0.25">
      <c r="A20" s="26" t="s">
        <v>43</v>
      </c>
      <c r="B20" s="27">
        <v>3099.74</v>
      </c>
      <c r="C20" s="27">
        <v>223864.6</v>
      </c>
      <c r="D20" s="27">
        <v>733.13</v>
      </c>
      <c r="F20" s="16">
        <f>SUM(B20:D20)</f>
        <v>227697.47</v>
      </c>
    </row>
    <row r="21" spans="1:13" s="18" customFormat="1" x14ac:dyDescent="0.25">
      <c r="A21" s="28" t="s">
        <v>44</v>
      </c>
      <c r="B21" s="29">
        <v>0.17399999999999999</v>
      </c>
      <c r="C21" s="29">
        <v>0.1421</v>
      </c>
      <c r="D21" s="29">
        <v>0.30859999999999999</v>
      </c>
      <c r="E21" s="36"/>
      <c r="F21" s="18">
        <f>AVERAGE(B21:D21)</f>
        <v>0.20823333333333335</v>
      </c>
    </row>
    <row r="22" spans="1:13" x14ac:dyDescent="0.25">
      <c r="A22" s="30" t="s">
        <v>45</v>
      </c>
      <c r="B22" s="31">
        <v>50</v>
      </c>
      <c r="C22" s="31">
        <v>3161</v>
      </c>
      <c r="D22" s="31">
        <v>9</v>
      </c>
      <c r="E22" s="37"/>
      <c r="F22" s="21">
        <f>SUM(B22:D22)</f>
        <v>3220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4687-1E94-424D-8B91-31BCC88AF033}">
  <dimension ref="A1:AA22"/>
  <sheetViews>
    <sheetView zoomScale="72" zoomScaleNormal="72" workbookViewId="0">
      <pane xSplit="1" topLeftCell="B1" activePane="topRight" state="frozen"/>
      <selection pane="topRight" activeCell="D17" sqref="D17:D22"/>
    </sheetView>
  </sheetViews>
  <sheetFormatPr defaultRowHeight="15" x14ac:dyDescent="0.25"/>
  <cols>
    <col min="1" max="1" width="30.7109375" customWidth="1"/>
    <col min="2" max="4" width="22.28515625" customWidth="1"/>
    <col min="5" max="5" width="5.42578125" customWidth="1"/>
    <col min="6" max="6" width="15.85546875" customWidth="1"/>
  </cols>
  <sheetData>
    <row r="1" spans="1:27" s="2" customFormat="1" x14ac:dyDescent="0.25">
      <c r="A1" s="1" t="s">
        <v>1</v>
      </c>
      <c r="B1" s="1" t="s">
        <v>56</v>
      </c>
      <c r="C1" s="1" t="s">
        <v>57</v>
      </c>
      <c r="D1" s="1" t="s">
        <v>8</v>
      </c>
      <c r="F1" s="2" t="s">
        <v>14</v>
      </c>
    </row>
    <row r="2" spans="1:27" s="5" customFormat="1" ht="95.25" customHeight="1" x14ac:dyDescent="0.25">
      <c r="A2" s="3" t="s">
        <v>15</v>
      </c>
      <c r="B2" s="17" t="s">
        <v>78</v>
      </c>
      <c r="C2" s="17" t="s">
        <v>79</v>
      </c>
      <c r="D2" s="17" t="s">
        <v>16</v>
      </c>
      <c r="E2" s="4"/>
    </row>
    <row r="3" spans="1:27" s="4" customFormat="1" ht="15.75" thickBot="1" x14ac:dyDescent="0.3">
      <c r="A3" s="6" t="s">
        <v>17</v>
      </c>
      <c r="B3" s="32" t="s">
        <v>98</v>
      </c>
      <c r="C3" s="32" t="s">
        <v>98</v>
      </c>
      <c r="D3" s="32" t="s">
        <v>24</v>
      </c>
      <c r="F3" s="7"/>
    </row>
    <row r="4" spans="1:27" x14ac:dyDescent="0.25">
      <c r="A4" s="8" t="s">
        <v>30</v>
      </c>
      <c r="B4" s="9">
        <v>676.72</v>
      </c>
      <c r="C4" s="9">
        <v>699.1</v>
      </c>
      <c r="D4" s="9">
        <v>10342.370000000001</v>
      </c>
      <c r="E4" s="10"/>
      <c r="F4" s="10">
        <f>SUM(B4:D4)</f>
        <v>11718.19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5">
      <c r="A5" s="11" t="s">
        <v>31</v>
      </c>
      <c r="B5" s="12">
        <v>19.5</v>
      </c>
      <c r="C5" s="12">
        <v>38.5</v>
      </c>
      <c r="D5" s="12">
        <v>555.73</v>
      </c>
      <c r="E5" s="10"/>
      <c r="F5" s="10">
        <f>SUM(B5:D5)</f>
        <v>613.73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5">
      <c r="A6" s="11" t="s">
        <v>136</v>
      </c>
      <c r="B6" s="12">
        <v>137.19</v>
      </c>
      <c r="C6" s="12">
        <v>131.46</v>
      </c>
      <c r="D6" s="12">
        <v>1786.79</v>
      </c>
      <c r="E6" s="10"/>
      <c r="F6" s="10">
        <f>SUM(B6:D6)</f>
        <v>2055.44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1" t="s">
        <v>34</v>
      </c>
      <c r="B7" s="12">
        <f>B4-B5-B6</f>
        <v>520.03</v>
      </c>
      <c r="C7" s="12">
        <f>C4-C5-C6</f>
        <v>529.14</v>
      </c>
      <c r="D7" s="12">
        <f>D4-D5-D6</f>
        <v>7999.8500000000013</v>
      </c>
      <c r="E7" s="10"/>
      <c r="F7" s="10">
        <f>SUM(B7:D7)</f>
        <v>9049.02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s="14" customFormat="1" ht="5.45" customHeight="1" x14ac:dyDescent="0.25">
      <c r="A8" s="13"/>
      <c r="B8" s="13"/>
      <c r="C8" s="13"/>
      <c r="D8" s="13"/>
    </row>
    <row r="9" spans="1:27" x14ac:dyDescent="0.25">
      <c r="A9" s="11" t="s">
        <v>35</v>
      </c>
      <c r="B9" s="20">
        <v>11</v>
      </c>
      <c r="C9" s="20">
        <v>6</v>
      </c>
      <c r="D9" s="20">
        <v>101</v>
      </c>
      <c r="F9" s="34">
        <f>SUM(B9:D9)</f>
        <v>118</v>
      </c>
    </row>
    <row r="10" spans="1:27" x14ac:dyDescent="0.25">
      <c r="A10" s="11" t="s">
        <v>36</v>
      </c>
      <c r="B10" s="12">
        <f>B4/B9</f>
        <v>61.52</v>
      </c>
      <c r="C10" s="12">
        <f>C4/C9</f>
        <v>116.51666666666667</v>
      </c>
      <c r="D10" s="12">
        <f>D4/D9</f>
        <v>102.39970297029704</v>
      </c>
      <c r="E10" s="10"/>
      <c r="F10" s="10">
        <f>AVERAGE(B10:D10)</f>
        <v>93.478789878987911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1" t="s">
        <v>37</v>
      </c>
      <c r="B11" s="12">
        <f>(B4-B5)/B9</f>
        <v>59.74727272727273</v>
      </c>
      <c r="C11" s="12">
        <f>(C4-C5)/C9</f>
        <v>110.10000000000001</v>
      </c>
      <c r="D11" s="12">
        <f>(D4-D5)/D9</f>
        <v>96.897425742574271</v>
      </c>
      <c r="E11" s="10"/>
      <c r="F11" s="10">
        <f>AVERAGE(B11:D11)</f>
        <v>88.914899489949008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30" x14ac:dyDescent="0.25">
      <c r="A12" s="15" t="s">
        <v>38</v>
      </c>
      <c r="B12" s="12">
        <f>(B4-B5-B6)/B9</f>
        <v>47.275454545454544</v>
      </c>
      <c r="C12" s="12">
        <f>(C4-C5-C6)/C9</f>
        <v>88.19</v>
      </c>
      <c r="D12" s="12">
        <f>(D4-D5-D6)/D9</f>
        <v>79.206435643564376</v>
      </c>
      <c r="E12" s="10"/>
      <c r="F12" s="10">
        <f>AVERAGE(B12:D12)</f>
        <v>71.557296729672984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s="14" customFormat="1" ht="5.45" customHeight="1" x14ac:dyDescent="0.25">
      <c r="A13" s="13"/>
      <c r="B13" s="13"/>
      <c r="C13" s="13"/>
      <c r="D13" s="13"/>
    </row>
    <row r="14" spans="1:27" ht="30" x14ac:dyDescent="0.25">
      <c r="A14" s="15" t="s">
        <v>39</v>
      </c>
      <c r="B14" s="12">
        <f>B10-B12</f>
        <v>14.24454545454546</v>
      </c>
      <c r="C14" s="12">
        <f>C10-C12</f>
        <v>28.326666666666668</v>
      </c>
      <c r="D14" s="12">
        <f>D10-D12</f>
        <v>23.193267326732666</v>
      </c>
      <c r="E14" s="10"/>
      <c r="F14" s="10">
        <f>AVERAGE(B14:D14)</f>
        <v>21.92149314931493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30" x14ac:dyDescent="0.25">
      <c r="A15" s="15" t="s">
        <v>40</v>
      </c>
      <c r="B15" s="12">
        <f>B11-B12</f>
        <v>12.471818181818186</v>
      </c>
      <c r="C15" s="12">
        <f>C11-C12</f>
        <v>21.910000000000011</v>
      </c>
      <c r="D15" s="12">
        <f>D11-D12</f>
        <v>17.690990099009895</v>
      </c>
      <c r="E15" s="10"/>
      <c r="F15" s="10">
        <f>AVERAGE(B15:D15)</f>
        <v>17.357602760276031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7" spans="1:13" x14ac:dyDescent="0.25">
      <c r="A17" s="22" t="s">
        <v>42</v>
      </c>
      <c r="B17" s="22" t="s">
        <v>56</v>
      </c>
      <c r="C17" s="22" t="s">
        <v>57</v>
      </c>
      <c r="D17" s="22" t="s">
        <v>8</v>
      </c>
      <c r="E17" s="2"/>
      <c r="F17" s="2"/>
    </row>
    <row r="18" spans="1:13" ht="88.5" customHeight="1" x14ac:dyDescent="0.25">
      <c r="A18" s="23" t="s">
        <v>15</v>
      </c>
      <c r="B18" s="24" t="s">
        <v>78</v>
      </c>
      <c r="C18" s="24" t="s">
        <v>79</v>
      </c>
      <c r="D18" s="24" t="s">
        <v>16</v>
      </c>
      <c r="E18" s="35"/>
      <c r="F18" s="5"/>
      <c r="M18" s="19"/>
    </row>
    <row r="19" spans="1:13" ht="15.75" thickBot="1" x14ac:dyDescent="0.3">
      <c r="A19" s="25" t="s">
        <v>17</v>
      </c>
      <c r="B19" s="33" t="s">
        <v>98</v>
      </c>
      <c r="C19" s="33" t="s">
        <v>98</v>
      </c>
      <c r="D19" s="33" t="s">
        <v>24</v>
      </c>
      <c r="E19" s="7"/>
      <c r="F19" s="7"/>
    </row>
    <row r="20" spans="1:13" s="16" customFormat="1" x14ac:dyDescent="0.25">
      <c r="A20" s="26" t="s">
        <v>43</v>
      </c>
      <c r="B20" s="27">
        <v>1183.73</v>
      </c>
      <c r="C20" s="27">
        <v>952.79</v>
      </c>
      <c r="D20" s="27">
        <v>99682.32</v>
      </c>
      <c r="F20" s="16">
        <f>SUM(B20:D20)</f>
        <v>101818.84000000001</v>
      </c>
    </row>
    <row r="21" spans="1:13" s="18" customFormat="1" x14ac:dyDescent="0.25">
      <c r="A21" s="28" t="s">
        <v>44</v>
      </c>
      <c r="B21" s="29">
        <v>0.112</v>
      </c>
      <c r="C21" s="29">
        <v>0.1648</v>
      </c>
      <c r="D21" s="29">
        <v>0.13270000000000001</v>
      </c>
      <c r="E21" s="36"/>
      <c r="F21" s="18">
        <f>AVERAGE(B21:D21)</f>
        <v>0.13649999999999998</v>
      </c>
    </row>
    <row r="22" spans="1:13" x14ac:dyDescent="0.25">
      <c r="A22" s="30" t="s">
        <v>45</v>
      </c>
      <c r="B22" s="31">
        <v>18</v>
      </c>
      <c r="C22" s="31">
        <v>16</v>
      </c>
      <c r="D22" s="31">
        <v>1495</v>
      </c>
      <c r="E22" s="37"/>
      <c r="F22" s="21">
        <f>SUM(B22:D22)</f>
        <v>1529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8618-29F1-47D8-8BF2-4E0095A5DB0A}">
  <dimension ref="A1:Z22"/>
  <sheetViews>
    <sheetView zoomScale="72" zoomScaleNormal="72" workbookViewId="0">
      <pane xSplit="1" topLeftCell="B1" activePane="topRight" state="frozen"/>
      <selection pane="topRight" activeCell="C17" sqref="C17:C22"/>
    </sheetView>
  </sheetViews>
  <sheetFormatPr defaultRowHeight="15" x14ac:dyDescent="0.25"/>
  <cols>
    <col min="1" max="1" width="30.7109375" customWidth="1"/>
    <col min="2" max="3" width="22.28515625" customWidth="1"/>
    <col min="4" max="4" width="5.42578125" customWidth="1"/>
    <col min="5" max="5" width="15.85546875" customWidth="1"/>
  </cols>
  <sheetData>
    <row r="1" spans="1:26" s="2" customFormat="1" x14ac:dyDescent="0.25">
      <c r="A1" s="1" t="s">
        <v>1</v>
      </c>
      <c r="B1" s="1" t="s">
        <v>7</v>
      </c>
      <c r="C1" s="1" t="s">
        <v>108</v>
      </c>
      <c r="E1" s="2" t="s">
        <v>14</v>
      </c>
    </row>
    <row r="2" spans="1:26" s="5" customFormat="1" ht="95.25" customHeight="1" x14ac:dyDescent="0.25">
      <c r="A2" s="3" t="s">
        <v>15</v>
      </c>
      <c r="B2" s="17" t="s">
        <v>16</v>
      </c>
      <c r="C2" s="17" t="s">
        <v>114</v>
      </c>
      <c r="D2" s="4"/>
    </row>
    <row r="3" spans="1:26" s="4" customFormat="1" ht="15.75" thickBot="1" x14ac:dyDescent="0.3">
      <c r="A3" s="6" t="s">
        <v>17</v>
      </c>
      <c r="B3" s="32" t="s">
        <v>23</v>
      </c>
      <c r="C3" s="42" t="s">
        <v>121</v>
      </c>
      <c r="E3" s="7"/>
    </row>
    <row r="4" spans="1:26" x14ac:dyDescent="0.25">
      <c r="A4" s="8" t="s">
        <v>30</v>
      </c>
      <c r="B4" s="9">
        <v>9576.14</v>
      </c>
      <c r="C4" s="9">
        <v>15464.54</v>
      </c>
      <c r="D4" s="10"/>
      <c r="E4" s="10">
        <f>SUM(B4:C4)</f>
        <v>25040.68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1" t="s">
        <v>31</v>
      </c>
      <c r="B5" s="12">
        <v>313.99</v>
      </c>
      <c r="C5" s="12">
        <v>587.59</v>
      </c>
      <c r="D5" s="10"/>
      <c r="E5" s="10">
        <f>SUM(B5:C5)</f>
        <v>901.58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1" t="s">
        <v>136</v>
      </c>
      <c r="B6" s="12">
        <v>1423.7</v>
      </c>
      <c r="C6" s="12">
        <v>2593.7399999999998</v>
      </c>
      <c r="D6" s="10"/>
      <c r="E6" s="10">
        <f>SUM(B6:C6)</f>
        <v>4017.4399999999996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1" t="s">
        <v>34</v>
      </c>
      <c r="B7" s="12">
        <f>B4-B5-B6</f>
        <v>7838.45</v>
      </c>
      <c r="C7" s="12">
        <f>C4-C5-C6</f>
        <v>12283.210000000001</v>
      </c>
      <c r="D7" s="10"/>
      <c r="E7" s="10">
        <f>SUM(B7:C7)</f>
        <v>20121.66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14" customFormat="1" ht="5.45" customHeight="1" x14ac:dyDescent="0.25">
      <c r="A8" s="13"/>
      <c r="B8" s="13"/>
      <c r="C8" s="13"/>
    </row>
    <row r="9" spans="1:26" x14ac:dyDescent="0.25">
      <c r="A9" s="11" t="s">
        <v>35</v>
      </c>
      <c r="B9" s="20">
        <v>95</v>
      </c>
      <c r="C9" s="20">
        <v>119</v>
      </c>
      <c r="E9" s="34">
        <f>SUM(B9:C9)</f>
        <v>214</v>
      </c>
    </row>
    <row r="10" spans="1:26" x14ac:dyDescent="0.25">
      <c r="A10" s="11" t="s">
        <v>36</v>
      </c>
      <c r="B10" s="12">
        <f>B4/B9</f>
        <v>100.80147368421052</v>
      </c>
      <c r="C10" s="12">
        <f>C4/C9</f>
        <v>129.95411764705884</v>
      </c>
      <c r="D10" s="10"/>
      <c r="E10" s="10">
        <f>AVERAGE(B10:C10)</f>
        <v>115.37779566563468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1" t="s">
        <v>37</v>
      </c>
      <c r="B11" s="12">
        <f>(B4-B5)/B9</f>
        <v>97.496315789473684</v>
      </c>
      <c r="C11" s="12">
        <f>(C4-C5)/C9</f>
        <v>125.01638655462186</v>
      </c>
      <c r="D11" s="10"/>
      <c r="E11" s="10">
        <f>AVERAGE(B11:C11)</f>
        <v>111.25635117204777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0" x14ac:dyDescent="0.25">
      <c r="A12" s="15" t="s">
        <v>38</v>
      </c>
      <c r="B12" s="12">
        <f>(B4-B5-B6)/B9</f>
        <v>82.51</v>
      </c>
      <c r="C12" s="12">
        <f>(C4-C5-C6)/C9</f>
        <v>103.22025210084034</v>
      </c>
      <c r="D12" s="10"/>
      <c r="E12" s="10">
        <f>AVERAGE(B12:C12)</f>
        <v>92.865126050420173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14" customFormat="1" ht="5.45" customHeight="1" x14ac:dyDescent="0.25">
      <c r="A13" s="13"/>
      <c r="B13" s="13"/>
      <c r="C13" s="13"/>
    </row>
    <row r="14" spans="1:26" ht="30" x14ac:dyDescent="0.25">
      <c r="A14" s="15" t="s">
        <v>39</v>
      </c>
      <c r="B14" s="12">
        <f>B10-B12</f>
        <v>18.291473684210516</v>
      </c>
      <c r="C14" s="12">
        <f>C10-C12</f>
        <v>26.733865546218496</v>
      </c>
      <c r="D14" s="10"/>
      <c r="E14" s="10">
        <f>AVERAGE(B14:C14)</f>
        <v>22.512669615214506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0" x14ac:dyDescent="0.25">
      <c r="A15" s="15" t="s">
        <v>40</v>
      </c>
      <c r="B15" s="12">
        <f>B11-B12</f>
        <v>14.986315789473679</v>
      </c>
      <c r="C15" s="12">
        <f>C11-C12</f>
        <v>21.796134453781519</v>
      </c>
      <c r="D15" s="10"/>
      <c r="E15" s="10">
        <f>AVERAGE(B15:C15)</f>
        <v>18.391225121627599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7" spans="1:12" x14ac:dyDescent="0.25">
      <c r="A17" s="22" t="s">
        <v>42</v>
      </c>
      <c r="B17" s="22" t="s">
        <v>7</v>
      </c>
      <c r="C17" s="22" t="s">
        <v>108</v>
      </c>
      <c r="D17" s="2"/>
      <c r="E17" s="2"/>
    </row>
    <row r="18" spans="1:12" ht="88.5" customHeight="1" x14ac:dyDescent="0.25">
      <c r="A18" s="23" t="s">
        <v>15</v>
      </c>
      <c r="B18" s="24" t="s">
        <v>16</v>
      </c>
      <c r="C18" s="24" t="s">
        <v>114</v>
      </c>
      <c r="D18" s="35"/>
      <c r="E18" s="5"/>
      <c r="L18" s="19"/>
    </row>
    <row r="19" spans="1:12" ht="15.75" thickBot="1" x14ac:dyDescent="0.3">
      <c r="A19" s="25" t="s">
        <v>17</v>
      </c>
      <c r="B19" s="33" t="s">
        <v>23</v>
      </c>
      <c r="C19" s="41" t="s">
        <v>121</v>
      </c>
      <c r="D19" s="7"/>
      <c r="E19" s="7"/>
    </row>
    <row r="20" spans="1:12" s="16" customFormat="1" x14ac:dyDescent="0.25">
      <c r="A20" s="26" t="s">
        <v>43</v>
      </c>
      <c r="B20" s="27">
        <v>124392.67</v>
      </c>
      <c r="C20" s="40">
        <v>69886.19</v>
      </c>
      <c r="E20" s="16">
        <f>SUM(B20:C20)</f>
        <v>194278.86</v>
      </c>
    </row>
    <row r="21" spans="1:12" s="18" customFormat="1" x14ac:dyDescent="0.25">
      <c r="A21" s="28" t="s">
        <v>44</v>
      </c>
      <c r="B21" s="29">
        <v>0.1323</v>
      </c>
      <c r="C21" s="39">
        <v>0.1489</v>
      </c>
      <c r="D21" s="36"/>
      <c r="E21" s="18">
        <f>AVERAGE(B21:C21)</f>
        <v>0.1406</v>
      </c>
    </row>
    <row r="22" spans="1:12" x14ac:dyDescent="0.25">
      <c r="A22" s="30" t="s">
        <v>45</v>
      </c>
      <c r="B22" s="31">
        <v>1662</v>
      </c>
      <c r="C22" s="38">
        <v>743</v>
      </c>
      <c r="D22" s="37"/>
      <c r="E22" s="21">
        <f>SUM(B22:C22)</f>
        <v>2405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CE95-7007-4BCE-8A1D-13A3FE205ADC}">
  <dimension ref="A1:AC22"/>
  <sheetViews>
    <sheetView topLeftCell="A2" zoomScale="72" zoomScaleNormal="72" workbookViewId="0">
      <pane xSplit="1" topLeftCell="B1" activePane="topRight" state="frozen"/>
      <selection pane="topRight" activeCell="E17" sqref="E17:E22"/>
    </sheetView>
  </sheetViews>
  <sheetFormatPr defaultRowHeight="15" x14ac:dyDescent="0.25"/>
  <cols>
    <col min="1" max="1" width="30.7109375" customWidth="1"/>
    <col min="2" max="2" width="22.28515625" customWidth="1"/>
    <col min="3" max="3" width="20.7109375" customWidth="1"/>
    <col min="4" max="5" width="22.28515625" customWidth="1"/>
    <col min="6" max="6" width="21" customWidth="1"/>
    <col min="7" max="7" width="5.42578125" customWidth="1"/>
    <col min="8" max="8" width="15.85546875" customWidth="1"/>
  </cols>
  <sheetData>
    <row r="1" spans="1:29" s="2" customFormat="1" x14ac:dyDescent="0.25">
      <c r="A1" s="1" t="s">
        <v>1</v>
      </c>
      <c r="B1" s="1" t="s">
        <v>54</v>
      </c>
      <c r="C1" s="1" t="s">
        <v>55</v>
      </c>
      <c r="D1" s="1" t="s">
        <v>6</v>
      </c>
      <c r="E1" s="1" t="s">
        <v>107</v>
      </c>
      <c r="F1" s="45" t="s">
        <v>148</v>
      </c>
      <c r="H1" s="2" t="s">
        <v>14</v>
      </c>
    </row>
    <row r="2" spans="1:29" s="5" customFormat="1" ht="95.25" customHeight="1" x14ac:dyDescent="0.25">
      <c r="A2" s="3" t="s">
        <v>15</v>
      </c>
      <c r="B2" s="17" t="s">
        <v>76</v>
      </c>
      <c r="C2" s="17" t="s">
        <v>77</v>
      </c>
      <c r="D2" s="17" t="s">
        <v>16</v>
      </c>
      <c r="E2" s="17" t="s">
        <v>114</v>
      </c>
      <c r="F2" s="44" t="s">
        <v>149</v>
      </c>
      <c r="G2" s="4"/>
    </row>
    <row r="3" spans="1:29" s="4" customFormat="1" ht="15.75" thickBot="1" x14ac:dyDescent="0.3">
      <c r="A3" s="6" t="s">
        <v>17</v>
      </c>
      <c r="B3" s="42" t="s">
        <v>97</v>
      </c>
      <c r="C3" s="42" t="s">
        <v>97</v>
      </c>
      <c r="D3" s="32" t="s">
        <v>22</v>
      </c>
      <c r="E3" s="42" t="s">
        <v>120</v>
      </c>
      <c r="F3" s="43" t="s">
        <v>150</v>
      </c>
      <c r="H3" s="7"/>
    </row>
    <row r="4" spans="1:29" x14ac:dyDescent="0.25">
      <c r="A4" s="8" t="s">
        <v>30</v>
      </c>
      <c r="B4" s="9">
        <v>875.56</v>
      </c>
      <c r="C4" s="9">
        <v>151.91</v>
      </c>
      <c r="D4" s="9">
        <v>11479.23</v>
      </c>
      <c r="E4" s="9">
        <v>13424.58</v>
      </c>
      <c r="F4" s="9">
        <v>8242.31</v>
      </c>
      <c r="G4" s="10"/>
      <c r="H4" s="10">
        <f>SUM(B4:F4)</f>
        <v>34173.589999999997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x14ac:dyDescent="0.25">
      <c r="A5" s="11" t="s">
        <v>31</v>
      </c>
      <c r="B5" s="12">
        <v>13</v>
      </c>
      <c r="C5" s="12">
        <v>2</v>
      </c>
      <c r="D5" s="12">
        <v>1046</v>
      </c>
      <c r="E5" s="12">
        <v>1013.3</v>
      </c>
      <c r="F5" s="12">
        <v>500.7</v>
      </c>
      <c r="G5" s="10"/>
      <c r="H5" s="10">
        <f>SUM(B5:F5)</f>
        <v>2575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x14ac:dyDescent="0.25">
      <c r="A6" s="11" t="s">
        <v>136</v>
      </c>
      <c r="B6" s="12">
        <v>254.95</v>
      </c>
      <c r="C6" s="12">
        <v>22</v>
      </c>
      <c r="D6" s="12">
        <v>1782.17</v>
      </c>
      <c r="E6" s="12">
        <v>2395.0300000000002</v>
      </c>
      <c r="F6" s="12">
        <v>2102.29</v>
      </c>
      <c r="G6" s="10"/>
      <c r="H6" s="10">
        <f>SUM(B6:F6)</f>
        <v>6556.44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x14ac:dyDescent="0.25">
      <c r="A7" s="11" t="s">
        <v>34</v>
      </c>
      <c r="B7" s="12">
        <f>B4-B5-B6</f>
        <v>607.6099999999999</v>
      </c>
      <c r="C7" s="12">
        <f>C4-C5-C6</f>
        <v>127.91</v>
      </c>
      <c r="D7" s="12">
        <f>D4-D5-D6</f>
        <v>8651.06</v>
      </c>
      <c r="E7" s="12">
        <f>E4-E5-E6</f>
        <v>10016.25</v>
      </c>
      <c r="F7" s="12">
        <f>F4-F5-F6</f>
        <v>5639.32</v>
      </c>
      <c r="G7" s="10"/>
      <c r="H7" s="10">
        <f>SUM(B7:F7)</f>
        <v>25042.15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4" customFormat="1" ht="5.45" customHeight="1" x14ac:dyDescent="0.25">
      <c r="A8" s="13"/>
      <c r="B8" s="13"/>
      <c r="C8" s="13"/>
      <c r="D8" s="13"/>
      <c r="E8" s="13"/>
      <c r="F8" s="13"/>
    </row>
    <row r="9" spans="1:29" x14ac:dyDescent="0.25">
      <c r="A9" s="11" t="s">
        <v>35</v>
      </c>
      <c r="B9" s="20">
        <v>18</v>
      </c>
      <c r="C9" s="20">
        <v>2</v>
      </c>
      <c r="D9" s="20">
        <v>103</v>
      </c>
      <c r="E9" s="20">
        <v>114</v>
      </c>
      <c r="F9" s="20">
        <v>90</v>
      </c>
      <c r="H9" s="34">
        <f>SUM(B9:F9)</f>
        <v>327</v>
      </c>
    </row>
    <row r="10" spans="1:29" x14ac:dyDescent="0.25">
      <c r="A10" s="11" t="s">
        <v>36</v>
      </c>
      <c r="B10" s="12">
        <f>B4/B9</f>
        <v>48.642222222222216</v>
      </c>
      <c r="C10" s="12">
        <f>C4/C9</f>
        <v>75.954999999999998</v>
      </c>
      <c r="D10" s="12">
        <f>D4/D9</f>
        <v>111.44883495145631</v>
      </c>
      <c r="E10" s="12">
        <f>E4/E9</f>
        <v>117.75947368421052</v>
      </c>
      <c r="F10" s="12">
        <f>F4/F9</f>
        <v>91.581222222222223</v>
      </c>
      <c r="G10" s="10"/>
      <c r="H10" s="10">
        <f>AVERAGE(B10:F10)</f>
        <v>89.077350616022244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x14ac:dyDescent="0.25">
      <c r="A11" s="11" t="s">
        <v>37</v>
      </c>
      <c r="B11" s="12">
        <f>(B4-B5)/B9</f>
        <v>47.919999999999995</v>
      </c>
      <c r="C11" s="12">
        <f>(C4-C5)/C9</f>
        <v>74.954999999999998</v>
      </c>
      <c r="D11" s="12">
        <f>(D4-D5)/D9</f>
        <v>101.29349514563107</v>
      </c>
      <c r="E11" s="12">
        <f>(E4-E5)/E9</f>
        <v>108.87087719298246</v>
      </c>
      <c r="F11" s="12">
        <f>(F4-F5)/F9</f>
        <v>86.017888888888891</v>
      </c>
      <c r="G11" s="10"/>
      <c r="H11" s="10">
        <f>AVERAGE(B11:F11)</f>
        <v>83.811452245500476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30" x14ac:dyDescent="0.25">
      <c r="A12" s="15" t="s">
        <v>38</v>
      </c>
      <c r="B12" s="12">
        <f>(B4-B5-B6)/B9</f>
        <v>33.756111111111103</v>
      </c>
      <c r="C12" s="12">
        <f>(C4-C5-C6)/C9</f>
        <v>63.954999999999998</v>
      </c>
      <c r="D12" s="12">
        <f>(D4-D5-D6)/D9</f>
        <v>83.990873786407761</v>
      </c>
      <c r="E12" s="12">
        <f>(E4-E5-E6)/E9</f>
        <v>87.861842105263165</v>
      </c>
      <c r="F12" s="12">
        <f>(F4-F5-F6)/F9</f>
        <v>62.659111111111109</v>
      </c>
      <c r="G12" s="10"/>
      <c r="H12" s="10">
        <f>AVERAGE(B12:F12)</f>
        <v>66.444587622778627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14" customFormat="1" ht="5.45" customHeight="1" x14ac:dyDescent="0.25">
      <c r="A13" s="13"/>
      <c r="B13" s="13"/>
      <c r="C13" s="13"/>
      <c r="D13" s="13"/>
      <c r="E13" s="13"/>
      <c r="F13" s="13"/>
    </row>
    <row r="14" spans="1:29" ht="30" x14ac:dyDescent="0.25">
      <c r="A14" s="15" t="s">
        <v>39</v>
      </c>
      <c r="B14" s="12">
        <f>B10-B12</f>
        <v>14.886111111111113</v>
      </c>
      <c r="C14" s="12">
        <f>C10-C12</f>
        <v>12</v>
      </c>
      <c r="D14" s="12">
        <f>D10-D12</f>
        <v>27.457961165048545</v>
      </c>
      <c r="E14" s="12">
        <f>E10-E12</f>
        <v>29.897631578947355</v>
      </c>
      <c r="F14" s="12">
        <f>F10-F12</f>
        <v>28.922111111111114</v>
      </c>
      <c r="G14" s="10"/>
      <c r="H14" s="10">
        <f>AVERAGE(B14:F14)</f>
        <v>22.632762993243624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30" x14ac:dyDescent="0.25">
      <c r="A15" s="15" t="s">
        <v>40</v>
      </c>
      <c r="B15" s="12">
        <f>B11-B12</f>
        <v>14.163888888888891</v>
      </c>
      <c r="C15" s="12">
        <f>C11-C12</f>
        <v>11</v>
      </c>
      <c r="D15" s="12">
        <f>D11-D12</f>
        <v>17.302621359223309</v>
      </c>
      <c r="E15" s="12">
        <f>E11-E12</f>
        <v>21.009035087719298</v>
      </c>
      <c r="F15" s="12">
        <f>F11-F12</f>
        <v>23.358777777777782</v>
      </c>
      <c r="G15" s="10"/>
      <c r="H15" s="10">
        <f>AVERAGE(B15:F15)</f>
        <v>17.366864622721856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7" spans="1:15" x14ac:dyDescent="0.25">
      <c r="A17" s="22" t="s">
        <v>42</v>
      </c>
      <c r="B17" s="22" t="s">
        <v>54</v>
      </c>
      <c r="C17" s="22" t="s">
        <v>55</v>
      </c>
      <c r="D17" s="22" t="s">
        <v>6</v>
      </c>
      <c r="E17" s="22" t="s">
        <v>107</v>
      </c>
      <c r="G17" s="2"/>
      <c r="H17" s="2"/>
    </row>
    <row r="18" spans="1:15" ht="88.5" customHeight="1" x14ac:dyDescent="0.25">
      <c r="A18" s="23" t="s">
        <v>15</v>
      </c>
      <c r="B18" s="24" t="s">
        <v>76</v>
      </c>
      <c r="C18" s="24" t="s">
        <v>77</v>
      </c>
      <c r="D18" s="24" t="s">
        <v>16</v>
      </c>
      <c r="E18" s="24" t="s">
        <v>114</v>
      </c>
      <c r="G18" s="35"/>
      <c r="H18" s="5"/>
      <c r="O18" s="19"/>
    </row>
    <row r="19" spans="1:15" ht="15.75" thickBot="1" x14ac:dyDescent="0.3">
      <c r="A19" s="25" t="s">
        <v>17</v>
      </c>
      <c r="B19" s="41" t="s">
        <v>97</v>
      </c>
      <c r="C19" s="41" t="s">
        <v>97</v>
      </c>
      <c r="D19" s="33" t="s">
        <v>22</v>
      </c>
      <c r="E19" s="41" t="s">
        <v>120</v>
      </c>
      <c r="G19" s="7"/>
      <c r="H19" s="7"/>
    </row>
    <row r="20" spans="1:15" s="16" customFormat="1" x14ac:dyDescent="0.25">
      <c r="A20" s="26" t="s">
        <v>43</v>
      </c>
      <c r="B20" s="40">
        <v>1398.92</v>
      </c>
      <c r="C20" s="40">
        <v>494.19</v>
      </c>
      <c r="D20" s="27">
        <v>121364.86</v>
      </c>
      <c r="E20" s="40">
        <v>68510.240000000005</v>
      </c>
      <c r="F20"/>
      <c r="H20" s="16">
        <f>SUM(B20:F20)</f>
        <v>191768.21000000002</v>
      </c>
    </row>
    <row r="21" spans="1:15" s="18" customFormat="1" x14ac:dyDescent="0.25">
      <c r="A21" s="28" t="s">
        <v>44</v>
      </c>
      <c r="B21" s="39">
        <v>7.4999999999999997E-2</v>
      </c>
      <c r="C21" s="39">
        <v>0.28420000000000001</v>
      </c>
      <c r="D21" s="29">
        <v>0.1298</v>
      </c>
      <c r="E21" s="39">
        <v>0.1431</v>
      </c>
      <c r="F21"/>
      <c r="G21" s="36"/>
      <c r="H21" s="18">
        <f>AVERAGE(B21:F21)</f>
        <v>0.158025</v>
      </c>
    </row>
    <row r="22" spans="1:15" x14ac:dyDescent="0.25">
      <c r="A22" s="30" t="s">
        <v>45</v>
      </c>
      <c r="B22" s="38">
        <v>23</v>
      </c>
      <c r="C22" s="38">
        <v>2</v>
      </c>
      <c r="D22" s="31">
        <v>1715</v>
      </c>
      <c r="E22" s="38">
        <v>740</v>
      </c>
      <c r="G22" s="37"/>
      <c r="H22" s="21">
        <f>SUM(B22:F22)</f>
        <v>2480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C10E-CAFE-4E6D-8929-010BA6A2B87B}">
  <dimension ref="A1:AL22"/>
  <sheetViews>
    <sheetView zoomScale="72" zoomScaleNormal="72" workbookViewId="0">
      <pane xSplit="1" topLeftCell="B1" activePane="topRight" state="frozen"/>
      <selection pane="topRight" activeCell="F17" sqref="F17:I22"/>
    </sheetView>
  </sheetViews>
  <sheetFormatPr defaultRowHeight="15" x14ac:dyDescent="0.25"/>
  <cols>
    <col min="1" max="1" width="30.7109375" customWidth="1"/>
    <col min="2" max="2" width="22.28515625" customWidth="1"/>
    <col min="3" max="4" width="20.7109375" customWidth="1"/>
    <col min="5" max="11" width="22.28515625" customWidth="1"/>
    <col min="12" max="12" width="25.7109375" customWidth="1"/>
    <col min="13" max="13" width="22.28515625" customWidth="1"/>
    <col min="14" max="15" width="20.7109375" customWidth="1"/>
    <col min="16" max="16" width="5.42578125" customWidth="1"/>
    <col min="17" max="17" width="15.85546875" customWidth="1"/>
  </cols>
  <sheetData>
    <row r="1" spans="1:38" s="2" customFormat="1" x14ac:dyDescent="0.25">
      <c r="A1" s="1" t="s">
        <v>1</v>
      </c>
      <c r="B1" s="1" t="s">
        <v>151</v>
      </c>
      <c r="C1" s="1" t="s">
        <v>152</v>
      </c>
      <c r="D1" s="1" t="s">
        <v>153</v>
      </c>
      <c r="E1" s="1" t="s">
        <v>5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106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Q1" s="2" t="s">
        <v>14</v>
      </c>
    </row>
    <row r="2" spans="1:38" s="5" customFormat="1" ht="95.25" customHeight="1" x14ac:dyDescent="0.25">
      <c r="A2" s="3" t="s">
        <v>15</v>
      </c>
      <c r="B2" s="17" t="s">
        <v>159</v>
      </c>
      <c r="C2" s="17" t="s">
        <v>160</v>
      </c>
      <c r="D2" s="17" t="s">
        <v>160</v>
      </c>
      <c r="E2" s="17" t="s">
        <v>16</v>
      </c>
      <c r="F2" s="17" t="s">
        <v>72</v>
      </c>
      <c r="G2" s="17" t="s">
        <v>73</v>
      </c>
      <c r="H2" s="17" t="s">
        <v>74</v>
      </c>
      <c r="I2" s="17" t="s">
        <v>75</v>
      </c>
      <c r="J2" s="17" t="s">
        <v>113</v>
      </c>
      <c r="K2" s="17" t="s">
        <v>159</v>
      </c>
      <c r="L2" s="17" t="s">
        <v>161</v>
      </c>
      <c r="M2" s="17" t="s">
        <v>146</v>
      </c>
      <c r="N2" s="17" t="s">
        <v>162</v>
      </c>
      <c r="O2" s="17" t="s">
        <v>162</v>
      </c>
      <c r="P2" s="4"/>
    </row>
    <row r="3" spans="1:38" s="4" customFormat="1" ht="15.75" thickBot="1" x14ac:dyDescent="0.3">
      <c r="A3" s="6" t="s">
        <v>17</v>
      </c>
      <c r="B3" s="32" t="s">
        <v>163</v>
      </c>
      <c r="C3" s="32" t="s">
        <v>164</v>
      </c>
      <c r="D3" s="32" t="s">
        <v>165</v>
      </c>
      <c r="E3" s="32" t="s">
        <v>21</v>
      </c>
      <c r="F3" s="42" t="s">
        <v>96</v>
      </c>
      <c r="G3" s="42" t="s">
        <v>96</v>
      </c>
      <c r="H3" s="42" t="s">
        <v>96</v>
      </c>
      <c r="I3" s="42" t="s">
        <v>96</v>
      </c>
      <c r="J3" s="42" t="s">
        <v>119</v>
      </c>
      <c r="K3" s="32" t="s">
        <v>166</v>
      </c>
      <c r="L3" s="32" t="s">
        <v>167</v>
      </c>
      <c r="M3" s="32" t="s">
        <v>168</v>
      </c>
      <c r="N3" s="42" t="s">
        <v>169</v>
      </c>
      <c r="O3" s="42" t="s">
        <v>170</v>
      </c>
      <c r="Q3" s="7"/>
    </row>
    <row r="4" spans="1:38" x14ac:dyDescent="0.25">
      <c r="A4" s="8" t="s">
        <v>30</v>
      </c>
      <c r="B4" s="9">
        <v>0</v>
      </c>
      <c r="C4" s="9">
        <v>0</v>
      </c>
      <c r="D4" s="9">
        <v>377.69</v>
      </c>
      <c r="E4" s="9">
        <v>12917.99</v>
      </c>
      <c r="F4" s="9">
        <v>2390.9</v>
      </c>
      <c r="G4" s="9">
        <v>3261.98</v>
      </c>
      <c r="H4" s="9">
        <v>568.02</v>
      </c>
      <c r="I4" s="9">
        <v>192.91</v>
      </c>
      <c r="J4" s="9">
        <v>33386.19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10"/>
      <c r="Q4" s="10">
        <f>SUM(B4:O4)</f>
        <v>53095.680000000008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x14ac:dyDescent="0.25">
      <c r="A5" s="11" t="s">
        <v>31</v>
      </c>
      <c r="B5" s="12">
        <v>0</v>
      </c>
      <c r="C5" s="12">
        <v>0</v>
      </c>
      <c r="D5" s="12">
        <v>19</v>
      </c>
      <c r="E5" s="12">
        <v>715.9</v>
      </c>
      <c r="F5" s="12">
        <v>64.599999999999994</v>
      </c>
      <c r="G5" s="12">
        <v>134.9</v>
      </c>
      <c r="H5" s="12">
        <v>58.4</v>
      </c>
      <c r="I5" s="12">
        <v>2</v>
      </c>
      <c r="J5" s="12">
        <v>2563.3000000000002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0"/>
      <c r="Q5" s="10">
        <f>SUM(B5:O5)</f>
        <v>3558.1000000000004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x14ac:dyDescent="0.25">
      <c r="A6" s="11" t="s">
        <v>136</v>
      </c>
      <c r="B6" s="12">
        <v>0</v>
      </c>
      <c r="C6" s="12">
        <v>0</v>
      </c>
      <c r="D6" s="12">
        <v>54</v>
      </c>
      <c r="E6" s="12">
        <v>1831.34</v>
      </c>
      <c r="F6" s="12">
        <v>441.96</v>
      </c>
      <c r="G6" s="12">
        <v>518.64</v>
      </c>
      <c r="H6" s="12">
        <v>99.5</v>
      </c>
      <c r="I6" s="12">
        <v>34</v>
      </c>
      <c r="J6" s="12">
        <v>5779.8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0"/>
      <c r="Q6" s="10">
        <f>SUM(B6:O6)</f>
        <v>8759.24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8" x14ac:dyDescent="0.25">
      <c r="A7" s="11" t="s">
        <v>34</v>
      </c>
      <c r="B7" s="12">
        <f t="shared" ref="B7:O7" si="0">B4-B5-B6</f>
        <v>0</v>
      </c>
      <c r="C7" s="12">
        <f t="shared" si="0"/>
        <v>0</v>
      </c>
      <c r="D7" s="12">
        <f t="shared" si="0"/>
        <v>304.69</v>
      </c>
      <c r="E7" s="12">
        <f t="shared" si="0"/>
        <v>10370.75</v>
      </c>
      <c r="F7" s="12">
        <f t="shared" si="0"/>
        <v>1884.3400000000001</v>
      </c>
      <c r="G7" s="12">
        <f t="shared" si="0"/>
        <v>2608.44</v>
      </c>
      <c r="H7" s="12">
        <f t="shared" si="0"/>
        <v>410.12</v>
      </c>
      <c r="I7" s="12">
        <f t="shared" si="0"/>
        <v>156.91</v>
      </c>
      <c r="J7" s="12">
        <f t="shared" si="0"/>
        <v>25043.090000000004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0"/>
      <c r="Q7" s="10">
        <f>SUM(B7:O7)</f>
        <v>40778.340000000004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s="14" customFormat="1" ht="5.4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38" x14ac:dyDescent="0.25">
      <c r="A9" s="11" t="s">
        <v>35</v>
      </c>
      <c r="B9" s="20">
        <v>0</v>
      </c>
      <c r="C9" s="20">
        <v>0</v>
      </c>
      <c r="D9" s="20">
        <v>2</v>
      </c>
      <c r="E9" s="20">
        <v>124</v>
      </c>
      <c r="F9" s="20">
        <v>23</v>
      </c>
      <c r="G9" s="20">
        <v>38</v>
      </c>
      <c r="H9" s="20">
        <v>10</v>
      </c>
      <c r="I9" s="20">
        <v>4</v>
      </c>
      <c r="J9" s="20">
        <v>311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Q9" s="34">
        <f>SUM(B9:O9)</f>
        <v>512</v>
      </c>
    </row>
    <row r="10" spans="1:38" x14ac:dyDescent="0.25">
      <c r="A10" s="11" t="s">
        <v>36</v>
      </c>
      <c r="B10" s="47" t="s">
        <v>143</v>
      </c>
      <c r="C10" s="47" t="s">
        <v>143</v>
      </c>
      <c r="D10" s="12">
        <f t="shared" ref="D10:J10" si="1">D4/D9</f>
        <v>188.845</v>
      </c>
      <c r="E10" s="12">
        <f t="shared" si="1"/>
        <v>104.17733870967741</v>
      </c>
      <c r="F10" s="12">
        <f t="shared" si="1"/>
        <v>103.95217391304348</v>
      </c>
      <c r="G10" s="12">
        <f t="shared" si="1"/>
        <v>85.841578947368419</v>
      </c>
      <c r="H10" s="12">
        <f t="shared" si="1"/>
        <v>56.802</v>
      </c>
      <c r="I10" s="12">
        <f t="shared" si="1"/>
        <v>48.227499999999999</v>
      </c>
      <c r="J10" s="12">
        <f t="shared" si="1"/>
        <v>107.35109324758844</v>
      </c>
      <c r="K10" s="47" t="s">
        <v>143</v>
      </c>
      <c r="L10" s="47" t="s">
        <v>143</v>
      </c>
      <c r="M10" s="47" t="s">
        <v>143</v>
      </c>
      <c r="N10" s="47" t="s">
        <v>143</v>
      </c>
      <c r="O10" s="47" t="s">
        <v>143</v>
      </c>
      <c r="P10" s="10"/>
      <c r="Q10" s="10">
        <f>AVERAGE(B10:O10)</f>
        <v>99.313812116811093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x14ac:dyDescent="0.25">
      <c r="A11" s="11" t="s">
        <v>37</v>
      </c>
      <c r="B11" s="47" t="s">
        <v>143</v>
      </c>
      <c r="C11" s="47" t="s">
        <v>143</v>
      </c>
      <c r="D11" s="12">
        <f t="shared" ref="D11:J11" si="2">(D4-D5)/D9</f>
        <v>179.345</v>
      </c>
      <c r="E11" s="12">
        <f t="shared" si="2"/>
        <v>98.403951612903228</v>
      </c>
      <c r="F11" s="12">
        <f t="shared" si="2"/>
        <v>101.14347826086957</v>
      </c>
      <c r="G11" s="12">
        <f t="shared" si="2"/>
        <v>82.291578947368421</v>
      </c>
      <c r="H11" s="12">
        <f t="shared" si="2"/>
        <v>50.962000000000003</v>
      </c>
      <c r="I11" s="12">
        <f t="shared" si="2"/>
        <v>47.727499999999999</v>
      </c>
      <c r="J11" s="12">
        <f t="shared" si="2"/>
        <v>99.108971061093257</v>
      </c>
      <c r="K11" s="47" t="s">
        <v>143</v>
      </c>
      <c r="L11" s="47" t="s">
        <v>143</v>
      </c>
      <c r="M11" s="47" t="s">
        <v>143</v>
      </c>
      <c r="N11" s="47" t="s">
        <v>143</v>
      </c>
      <c r="O11" s="47" t="s">
        <v>143</v>
      </c>
      <c r="P11" s="10"/>
      <c r="Q11" s="10">
        <f>AVERAGE(B11:O11)</f>
        <v>94.140354268890633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ht="30" x14ac:dyDescent="0.25">
      <c r="A12" s="15" t="s">
        <v>38</v>
      </c>
      <c r="B12" s="47" t="s">
        <v>143</v>
      </c>
      <c r="C12" s="47" t="s">
        <v>143</v>
      </c>
      <c r="D12" s="12">
        <f t="shared" ref="D12:J12" si="3">(D4-D5-D6)/D9</f>
        <v>152.345</v>
      </c>
      <c r="E12" s="12">
        <f t="shared" si="3"/>
        <v>83.635080645161295</v>
      </c>
      <c r="F12" s="12">
        <f t="shared" si="3"/>
        <v>81.927826086956529</v>
      </c>
      <c r="G12" s="12">
        <f t="shared" si="3"/>
        <v>68.643157894736845</v>
      </c>
      <c r="H12" s="12">
        <f t="shared" si="3"/>
        <v>41.012</v>
      </c>
      <c r="I12" s="12">
        <f t="shared" si="3"/>
        <v>39.227499999999999</v>
      </c>
      <c r="J12" s="12">
        <f t="shared" si="3"/>
        <v>80.524405144694541</v>
      </c>
      <c r="K12" s="47" t="s">
        <v>143</v>
      </c>
      <c r="L12" s="47" t="s">
        <v>143</v>
      </c>
      <c r="M12" s="47" t="s">
        <v>143</v>
      </c>
      <c r="N12" s="47" t="s">
        <v>143</v>
      </c>
      <c r="O12" s="47" t="s">
        <v>143</v>
      </c>
      <c r="P12" s="10"/>
      <c r="Q12" s="10">
        <f>AVERAGE(B12:O12)</f>
        <v>78.187852824507033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4" customFormat="1" ht="5.45" customHeight="1" x14ac:dyDescent="0.25">
      <c r="A13" s="13"/>
      <c r="B13" s="48"/>
      <c r="C13" s="48"/>
      <c r="D13" s="13"/>
      <c r="E13" s="13"/>
      <c r="F13" s="13"/>
      <c r="G13" s="13"/>
      <c r="H13" s="13"/>
      <c r="I13" s="13"/>
      <c r="J13" s="13"/>
      <c r="K13" s="48"/>
      <c r="L13" s="48"/>
      <c r="M13" s="48"/>
      <c r="N13" s="48"/>
      <c r="O13" s="48"/>
    </row>
    <row r="14" spans="1:38" ht="30" x14ac:dyDescent="0.25">
      <c r="A14" s="15" t="s">
        <v>39</v>
      </c>
      <c r="B14" s="47" t="s">
        <v>143</v>
      </c>
      <c r="C14" s="47" t="s">
        <v>143</v>
      </c>
      <c r="D14" s="12">
        <f t="shared" ref="D14:J14" si="4">D10-D12</f>
        <v>36.5</v>
      </c>
      <c r="E14" s="12">
        <f t="shared" si="4"/>
        <v>20.542258064516119</v>
      </c>
      <c r="F14" s="12">
        <f t="shared" si="4"/>
        <v>22.024347826086952</v>
      </c>
      <c r="G14" s="12">
        <f t="shared" si="4"/>
        <v>17.198421052631574</v>
      </c>
      <c r="H14" s="12">
        <f t="shared" si="4"/>
        <v>15.79</v>
      </c>
      <c r="I14" s="12">
        <f t="shared" si="4"/>
        <v>9</v>
      </c>
      <c r="J14" s="12">
        <f t="shared" si="4"/>
        <v>26.826688102893897</v>
      </c>
      <c r="K14" s="47" t="s">
        <v>143</v>
      </c>
      <c r="L14" s="47" t="s">
        <v>143</v>
      </c>
      <c r="M14" s="47" t="s">
        <v>143</v>
      </c>
      <c r="N14" s="47" t="s">
        <v>143</v>
      </c>
      <c r="O14" s="47" t="s">
        <v>143</v>
      </c>
      <c r="P14" s="10"/>
      <c r="Q14" s="10">
        <f>AVERAGE(B14:O14)</f>
        <v>21.125959292304078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spans="1:38" ht="30" x14ac:dyDescent="0.25">
      <c r="A15" s="15" t="s">
        <v>40</v>
      </c>
      <c r="B15" s="47" t="s">
        <v>143</v>
      </c>
      <c r="C15" s="47" t="s">
        <v>143</v>
      </c>
      <c r="D15" s="12">
        <f t="shared" ref="D15:J15" si="5">D11-D12</f>
        <v>27</v>
      </c>
      <c r="E15" s="12">
        <f t="shared" si="5"/>
        <v>14.768870967741933</v>
      </c>
      <c r="F15" s="12">
        <f t="shared" si="5"/>
        <v>19.215652173913043</v>
      </c>
      <c r="G15" s="12">
        <f t="shared" si="5"/>
        <v>13.648421052631576</v>
      </c>
      <c r="H15" s="12">
        <f t="shared" si="5"/>
        <v>9.9500000000000028</v>
      </c>
      <c r="I15" s="12">
        <f t="shared" si="5"/>
        <v>8.5</v>
      </c>
      <c r="J15" s="12">
        <f t="shared" si="5"/>
        <v>18.584565916398716</v>
      </c>
      <c r="K15" s="47" t="s">
        <v>143</v>
      </c>
      <c r="L15" s="47" t="s">
        <v>143</v>
      </c>
      <c r="M15" s="47" t="s">
        <v>143</v>
      </c>
      <c r="N15" s="47" t="s">
        <v>143</v>
      </c>
      <c r="O15" s="47" t="s">
        <v>143</v>
      </c>
      <c r="P15" s="10"/>
      <c r="Q15" s="10">
        <f>AVERAGE(B15:O15)</f>
        <v>15.952501444383611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7" spans="1:24" x14ac:dyDescent="0.25">
      <c r="A17" s="22" t="s">
        <v>42</v>
      </c>
      <c r="B17" s="22" t="s">
        <v>151</v>
      </c>
      <c r="C17" s="22" t="s">
        <v>152</v>
      </c>
      <c r="D17" s="22" t="s">
        <v>153</v>
      </c>
      <c r="E17" s="22" t="s">
        <v>5</v>
      </c>
      <c r="F17" s="22" t="s">
        <v>50</v>
      </c>
      <c r="G17" s="22" t="s">
        <v>51</v>
      </c>
      <c r="H17" s="22" t="s">
        <v>52</v>
      </c>
      <c r="I17" s="22" t="s">
        <v>53</v>
      </c>
      <c r="J17" s="22" t="s">
        <v>106</v>
      </c>
      <c r="K17" s="22" t="s">
        <v>154</v>
      </c>
      <c r="L17" s="22" t="s">
        <v>155</v>
      </c>
      <c r="M17" s="22" t="s">
        <v>156</v>
      </c>
      <c r="N17" s="22" t="s">
        <v>157</v>
      </c>
      <c r="O17" s="22" t="s">
        <v>158</v>
      </c>
      <c r="Q17" s="2"/>
    </row>
    <row r="18" spans="1:24" ht="88.5" customHeight="1" x14ac:dyDescent="0.25">
      <c r="A18" s="23" t="s">
        <v>15</v>
      </c>
      <c r="B18" s="24" t="s">
        <v>159</v>
      </c>
      <c r="C18" s="24" t="s">
        <v>160</v>
      </c>
      <c r="D18" s="24" t="s">
        <v>160</v>
      </c>
      <c r="E18" s="24" t="s">
        <v>16</v>
      </c>
      <c r="F18" s="24" t="s">
        <v>72</v>
      </c>
      <c r="G18" s="24" t="s">
        <v>73</v>
      </c>
      <c r="H18" s="24" t="s">
        <v>74</v>
      </c>
      <c r="I18" s="24" t="s">
        <v>75</v>
      </c>
      <c r="J18" s="24" t="s">
        <v>113</v>
      </c>
      <c r="K18" s="24" t="s">
        <v>159</v>
      </c>
      <c r="L18" s="24" t="s">
        <v>161</v>
      </c>
      <c r="M18" s="24" t="s">
        <v>146</v>
      </c>
      <c r="N18" s="24" t="s">
        <v>162</v>
      </c>
      <c r="O18" s="24" t="s">
        <v>162</v>
      </c>
      <c r="Q18" s="5"/>
      <c r="X18" s="19"/>
    </row>
    <row r="19" spans="1:24" ht="15.75" thickBot="1" x14ac:dyDescent="0.3">
      <c r="A19" s="25" t="s">
        <v>17</v>
      </c>
      <c r="B19" s="33" t="s">
        <v>163</v>
      </c>
      <c r="C19" s="33" t="s">
        <v>164</v>
      </c>
      <c r="D19" s="33" t="s">
        <v>165</v>
      </c>
      <c r="E19" s="33" t="s">
        <v>21</v>
      </c>
      <c r="F19" s="41" t="s">
        <v>96</v>
      </c>
      <c r="G19" s="41" t="s">
        <v>96</v>
      </c>
      <c r="H19" s="41" t="s">
        <v>96</v>
      </c>
      <c r="I19" s="41" t="s">
        <v>96</v>
      </c>
      <c r="J19" s="41" t="s">
        <v>119</v>
      </c>
      <c r="K19" s="33" t="s">
        <v>166</v>
      </c>
      <c r="L19" s="33" t="s">
        <v>167</v>
      </c>
      <c r="M19" s="33" t="s">
        <v>168</v>
      </c>
      <c r="N19" s="41" t="s">
        <v>169</v>
      </c>
      <c r="O19" s="41" t="s">
        <v>170</v>
      </c>
      <c r="Q19" s="7"/>
    </row>
    <row r="20" spans="1:24" s="16" customFormat="1" x14ac:dyDescent="0.25">
      <c r="A20" s="26" t="s">
        <v>43</v>
      </c>
      <c r="B20" s="40">
        <v>0</v>
      </c>
      <c r="C20" s="40">
        <v>1369.2</v>
      </c>
      <c r="D20" s="27">
        <v>429.32</v>
      </c>
      <c r="E20" s="27">
        <v>134834.18</v>
      </c>
      <c r="F20" s="40">
        <v>3456.34</v>
      </c>
      <c r="G20" s="40">
        <v>10171.06</v>
      </c>
      <c r="H20" s="40">
        <v>678.73</v>
      </c>
      <c r="I20" s="40">
        <v>870.47</v>
      </c>
      <c r="J20" s="40">
        <v>187874.9</v>
      </c>
      <c r="K20" s="40">
        <v>0</v>
      </c>
      <c r="L20" s="40">
        <v>2190.14</v>
      </c>
      <c r="M20" s="40">
        <v>3561.6</v>
      </c>
      <c r="N20" s="40">
        <v>0</v>
      </c>
      <c r="O20" s="40">
        <v>0</v>
      </c>
      <c r="Q20" s="16">
        <f>SUM(B20:O20)</f>
        <v>345435.93999999994</v>
      </c>
    </row>
    <row r="21" spans="1:24" s="18" customFormat="1" x14ac:dyDescent="0.25">
      <c r="A21" s="28" t="s">
        <v>44</v>
      </c>
      <c r="B21" s="39" t="s">
        <v>143</v>
      </c>
      <c r="C21" s="39">
        <v>0.30570000000000003</v>
      </c>
      <c r="D21" s="29">
        <v>0.44969999999999999</v>
      </c>
      <c r="E21" s="29">
        <v>0.1381</v>
      </c>
      <c r="F21" s="39">
        <v>0.16439999999999999</v>
      </c>
      <c r="G21" s="39">
        <v>0.1191</v>
      </c>
      <c r="H21" s="39">
        <v>6.9400000000000003E-2</v>
      </c>
      <c r="I21" s="39">
        <v>0.19</v>
      </c>
      <c r="J21" s="39">
        <v>0.14030000000000001</v>
      </c>
      <c r="K21" s="39" t="s">
        <v>143</v>
      </c>
      <c r="L21" s="39">
        <v>0.2409</v>
      </c>
      <c r="M21" s="39">
        <v>0.14849999999999999</v>
      </c>
      <c r="N21" s="39" t="s">
        <v>143</v>
      </c>
      <c r="O21" s="39" t="s">
        <v>143</v>
      </c>
      <c r="Q21" s="18">
        <f>AVERAGE(B21:O21)</f>
        <v>0.19661000000000001</v>
      </c>
    </row>
    <row r="22" spans="1:24" x14ac:dyDescent="0.25">
      <c r="A22" s="30" t="s">
        <v>45</v>
      </c>
      <c r="B22" s="46">
        <v>0</v>
      </c>
      <c r="C22" s="46">
        <v>14</v>
      </c>
      <c r="D22" s="31">
        <v>4</v>
      </c>
      <c r="E22" s="31">
        <v>1802</v>
      </c>
      <c r="F22" s="46">
        <v>37</v>
      </c>
      <c r="G22" s="38">
        <v>132</v>
      </c>
      <c r="H22" s="38">
        <v>17</v>
      </c>
      <c r="I22" s="38">
        <v>15</v>
      </c>
      <c r="J22" s="38">
        <v>1995</v>
      </c>
      <c r="K22" s="46">
        <v>0</v>
      </c>
      <c r="L22" s="46">
        <v>12</v>
      </c>
      <c r="M22" s="46">
        <v>42</v>
      </c>
      <c r="N22" s="46">
        <v>0</v>
      </c>
      <c r="O22" s="46">
        <v>0</v>
      </c>
      <c r="Q22" s="21">
        <f>SUM(B22:O22)</f>
        <v>4070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9339-90BB-4EB1-9C32-82E50B498DD3}">
  <dimension ref="A1:AE22"/>
  <sheetViews>
    <sheetView zoomScale="75" zoomScaleNormal="75" workbookViewId="0">
      <pane xSplit="1" topLeftCell="B1" activePane="topRight" state="frozen"/>
      <selection pane="topRight" activeCell="C17" sqref="C17:C22"/>
    </sheetView>
  </sheetViews>
  <sheetFormatPr defaultRowHeight="15" x14ac:dyDescent="0.25"/>
  <cols>
    <col min="1" max="1" width="30.7109375" customWidth="1"/>
    <col min="2" max="4" width="22.28515625" customWidth="1"/>
    <col min="5" max="8" width="20.7109375" customWidth="1"/>
    <col min="9" max="9" width="21.28515625" customWidth="1"/>
    <col min="10" max="10" width="15.85546875" customWidth="1"/>
  </cols>
  <sheetData>
    <row r="1" spans="1:31" s="2" customFormat="1" x14ac:dyDescent="0.25">
      <c r="A1" s="1" t="s">
        <v>1</v>
      </c>
      <c r="B1" s="1" t="s">
        <v>49</v>
      </c>
      <c r="C1" s="1" t="s">
        <v>4</v>
      </c>
      <c r="D1" s="1" t="s">
        <v>151</v>
      </c>
      <c r="E1" s="1" t="s">
        <v>171</v>
      </c>
      <c r="F1" s="1" t="s">
        <v>152</v>
      </c>
      <c r="G1" s="1" t="s">
        <v>172</v>
      </c>
      <c r="H1" s="1" t="s">
        <v>153</v>
      </c>
      <c r="J1" s="2" t="s">
        <v>14</v>
      </c>
    </row>
    <row r="2" spans="1:31" s="5" customFormat="1" ht="95.25" customHeight="1" x14ac:dyDescent="0.25">
      <c r="A2" s="3" t="s">
        <v>15</v>
      </c>
      <c r="B2" s="17" t="s">
        <v>71</v>
      </c>
      <c r="C2" s="17" t="s">
        <v>16</v>
      </c>
      <c r="D2" s="17" t="s">
        <v>159</v>
      </c>
      <c r="E2" s="17" t="s">
        <v>162</v>
      </c>
      <c r="F2" s="17" t="s">
        <v>159</v>
      </c>
      <c r="G2" s="17" t="s">
        <v>173</v>
      </c>
      <c r="H2" s="17" t="s">
        <v>160</v>
      </c>
      <c r="I2" s="4"/>
    </row>
    <row r="3" spans="1:31" s="4" customFormat="1" ht="15.75" thickBot="1" x14ac:dyDescent="0.3">
      <c r="A3" s="6" t="s">
        <v>17</v>
      </c>
      <c r="B3" s="42" t="s">
        <v>95</v>
      </c>
      <c r="C3" s="32" t="s">
        <v>20</v>
      </c>
      <c r="D3" s="32" t="s">
        <v>163</v>
      </c>
      <c r="E3" s="42" t="s">
        <v>174</v>
      </c>
      <c r="F3" s="42" t="s">
        <v>164</v>
      </c>
      <c r="G3" s="42" t="s">
        <v>175</v>
      </c>
      <c r="H3" s="32" t="s">
        <v>165</v>
      </c>
      <c r="J3" s="7"/>
    </row>
    <row r="4" spans="1:31" x14ac:dyDescent="0.25">
      <c r="A4" s="8" t="s">
        <v>30</v>
      </c>
      <c r="B4" s="9">
        <v>493.82</v>
      </c>
      <c r="C4" s="9">
        <v>14492.52</v>
      </c>
      <c r="D4" s="9">
        <v>0</v>
      </c>
      <c r="E4" s="9">
        <v>4891.41</v>
      </c>
      <c r="F4" s="9">
        <v>0</v>
      </c>
      <c r="G4" s="9">
        <v>704.78</v>
      </c>
      <c r="H4" s="9">
        <v>0</v>
      </c>
      <c r="I4" s="10"/>
      <c r="J4" s="10">
        <f>SUM(B4:H4)</f>
        <v>20582.53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x14ac:dyDescent="0.25">
      <c r="A5" s="11" t="s">
        <v>31</v>
      </c>
      <c r="B5" s="12">
        <v>20</v>
      </c>
      <c r="C5" s="12">
        <v>711.35</v>
      </c>
      <c r="D5" s="12">
        <v>0</v>
      </c>
      <c r="E5" s="12">
        <v>194.5</v>
      </c>
      <c r="F5" s="12">
        <v>0</v>
      </c>
      <c r="G5" s="12">
        <v>58</v>
      </c>
      <c r="H5" s="12">
        <v>0</v>
      </c>
      <c r="I5" s="10"/>
      <c r="J5" s="10">
        <f>SUM(B5:H5)</f>
        <v>983.85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x14ac:dyDescent="0.25">
      <c r="A6" s="11" t="s">
        <v>136</v>
      </c>
      <c r="B6" s="12">
        <v>92</v>
      </c>
      <c r="C6" s="12">
        <v>1959.49</v>
      </c>
      <c r="D6" s="12">
        <v>0</v>
      </c>
      <c r="E6" s="12">
        <v>1013</v>
      </c>
      <c r="F6" s="12">
        <v>0</v>
      </c>
      <c r="G6" s="12">
        <v>68</v>
      </c>
      <c r="H6" s="12">
        <v>0</v>
      </c>
      <c r="I6" s="10"/>
      <c r="J6" s="10">
        <f>SUM(B6:H6)</f>
        <v>3132.49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25">
      <c r="A7" s="11" t="s">
        <v>34</v>
      </c>
      <c r="B7" s="12">
        <f t="shared" ref="B7:H7" si="0">B4-B5-B6</f>
        <v>381.82</v>
      </c>
      <c r="C7" s="12">
        <f t="shared" si="0"/>
        <v>11821.68</v>
      </c>
      <c r="D7" s="12">
        <f t="shared" si="0"/>
        <v>0</v>
      </c>
      <c r="E7" s="12">
        <f t="shared" si="0"/>
        <v>3683.91</v>
      </c>
      <c r="F7" s="12">
        <f t="shared" si="0"/>
        <v>0</v>
      </c>
      <c r="G7" s="12">
        <f t="shared" si="0"/>
        <v>578.78</v>
      </c>
      <c r="H7" s="12">
        <f t="shared" si="0"/>
        <v>0</v>
      </c>
      <c r="I7" s="10"/>
      <c r="J7" s="10">
        <f>SUM(B7:H7)</f>
        <v>16466.189999999999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14" customFormat="1" ht="5.45" customHeight="1" x14ac:dyDescent="0.25">
      <c r="A8" s="13"/>
      <c r="B8" s="13"/>
      <c r="C8" s="13"/>
      <c r="D8" s="13"/>
      <c r="E8" s="13"/>
      <c r="F8" s="13"/>
      <c r="G8" s="13"/>
      <c r="H8" s="13"/>
    </row>
    <row r="9" spans="1:31" x14ac:dyDescent="0.25">
      <c r="A9" s="11" t="s">
        <v>35</v>
      </c>
      <c r="B9" s="20">
        <v>4</v>
      </c>
      <c r="C9" s="20">
        <v>129</v>
      </c>
      <c r="D9" s="20">
        <v>0</v>
      </c>
      <c r="E9" s="20">
        <v>38</v>
      </c>
      <c r="F9" s="20">
        <v>0</v>
      </c>
      <c r="G9" s="20">
        <v>10</v>
      </c>
      <c r="H9" s="20">
        <v>0</v>
      </c>
      <c r="J9" s="34">
        <f>SUM(B9:H9)</f>
        <v>181</v>
      </c>
    </row>
    <row r="10" spans="1:31" x14ac:dyDescent="0.25">
      <c r="A10" s="11" t="s">
        <v>36</v>
      </c>
      <c r="B10" s="12">
        <f>B4/B9</f>
        <v>123.455</v>
      </c>
      <c r="C10" s="12">
        <f>C4/C9</f>
        <v>112.34511627906977</v>
      </c>
      <c r="D10" s="47" t="s">
        <v>143</v>
      </c>
      <c r="E10" s="12">
        <f>E4/E9</f>
        <v>128.72131578947369</v>
      </c>
      <c r="F10" s="47" t="s">
        <v>143</v>
      </c>
      <c r="G10" s="12">
        <f>G4/G9</f>
        <v>70.477999999999994</v>
      </c>
      <c r="H10" s="47" t="s">
        <v>143</v>
      </c>
      <c r="I10" s="10"/>
      <c r="J10" s="10">
        <f>AVERAGE(B10:H10)</f>
        <v>108.74985801713586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5">
      <c r="A11" s="11" t="s">
        <v>37</v>
      </c>
      <c r="B11" s="12">
        <f>(B4-B5)/B9</f>
        <v>118.455</v>
      </c>
      <c r="C11" s="12">
        <f>(C4-C5)/C9</f>
        <v>106.83077519379844</v>
      </c>
      <c r="D11" s="47" t="s">
        <v>143</v>
      </c>
      <c r="E11" s="12">
        <f>(E4-E5)/E9</f>
        <v>123.6028947368421</v>
      </c>
      <c r="F11" s="47" t="s">
        <v>143</v>
      </c>
      <c r="G11" s="12">
        <f>(G4-G5)/G9</f>
        <v>64.677999999999997</v>
      </c>
      <c r="H11" s="47" t="s">
        <v>143</v>
      </c>
      <c r="I11" s="10"/>
      <c r="J11" s="10">
        <f>AVERAGE(B11:H11)</f>
        <v>103.39166748266013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30" x14ac:dyDescent="0.25">
      <c r="A12" s="15" t="s">
        <v>38</v>
      </c>
      <c r="B12" s="12">
        <f>(B4-B5-B6)/B9</f>
        <v>95.454999999999998</v>
      </c>
      <c r="C12" s="12">
        <f>(C4-C5-C6)/C9</f>
        <v>91.640930232558148</v>
      </c>
      <c r="D12" s="47" t="s">
        <v>143</v>
      </c>
      <c r="E12" s="12">
        <f>(E4-E5-E6)/E9</f>
        <v>96.944999999999993</v>
      </c>
      <c r="F12" s="47" t="s">
        <v>143</v>
      </c>
      <c r="G12" s="12">
        <f>(G4-G5-G6)/G9</f>
        <v>57.878</v>
      </c>
      <c r="H12" s="47" t="s">
        <v>143</v>
      </c>
      <c r="I12" s="10"/>
      <c r="J12" s="10">
        <f>AVERAGE(B12:H12)</f>
        <v>85.479732558139531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14" customFormat="1" ht="5.45" customHeight="1" x14ac:dyDescent="0.25">
      <c r="A13" s="13"/>
      <c r="B13" s="13"/>
      <c r="C13" s="13"/>
      <c r="D13" s="48"/>
      <c r="E13" s="13"/>
      <c r="F13" s="48"/>
      <c r="G13" s="13"/>
      <c r="H13" s="48"/>
    </row>
    <row r="14" spans="1:31" ht="30" x14ac:dyDescent="0.25">
      <c r="A14" s="15" t="s">
        <v>39</v>
      </c>
      <c r="B14" s="12">
        <f>B10-B12</f>
        <v>28</v>
      </c>
      <c r="C14" s="12">
        <f>C10-C12</f>
        <v>20.704186046511623</v>
      </c>
      <c r="D14" s="47" t="s">
        <v>143</v>
      </c>
      <c r="E14" s="12">
        <f>E10-E12</f>
        <v>31.776315789473699</v>
      </c>
      <c r="F14" s="47" t="s">
        <v>143</v>
      </c>
      <c r="G14" s="12">
        <f>G10-G12</f>
        <v>12.599999999999994</v>
      </c>
      <c r="H14" s="47" t="s">
        <v>143</v>
      </c>
      <c r="I14" s="10"/>
      <c r="J14" s="10">
        <f>AVERAGE(B14:H14)</f>
        <v>23.270125458996329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30" x14ac:dyDescent="0.25">
      <c r="A15" s="15" t="s">
        <v>40</v>
      </c>
      <c r="B15" s="12">
        <f>B11-B12</f>
        <v>23</v>
      </c>
      <c r="C15" s="12">
        <f>C11-C12</f>
        <v>15.189844961240297</v>
      </c>
      <c r="D15" s="47" t="s">
        <v>143</v>
      </c>
      <c r="E15" s="12">
        <f>E11-E12</f>
        <v>26.65789473684211</v>
      </c>
      <c r="F15" s="47" t="s">
        <v>143</v>
      </c>
      <c r="G15" s="12">
        <f>G11-G12</f>
        <v>6.7999999999999972</v>
      </c>
      <c r="H15" s="47" t="s">
        <v>143</v>
      </c>
      <c r="I15" s="10"/>
      <c r="J15" s="10">
        <f>AVERAGE(B15:H15)</f>
        <v>17.911934924520601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7" spans="1:17" x14ac:dyDescent="0.25">
      <c r="A17" s="22" t="s">
        <v>42</v>
      </c>
      <c r="B17" s="22" t="s">
        <v>49</v>
      </c>
      <c r="C17" s="22" t="s">
        <v>4</v>
      </c>
      <c r="D17" s="22" t="s">
        <v>151</v>
      </c>
      <c r="E17" s="22" t="s">
        <v>171</v>
      </c>
      <c r="F17" s="22" t="s">
        <v>152</v>
      </c>
      <c r="G17" s="22" t="s">
        <v>172</v>
      </c>
      <c r="H17" s="22" t="s">
        <v>153</v>
      </c>
      <c r="J17" s="2"/>
    </row>
    <row r="18" spans="1:17" ht="88.5" customHeight="1" x14ac:dyDescent="0.25">
      <c r="A18" s="23" t="s">
        <v>15</v>
      </c>
      <c r="B18" s="24" t="s">
        <v>71</v>
      </c>
      <c r="C18" s="24" t="s">
        <v>16</v>
      </c>
      <c r="D18" s="24" t="s">
        <v>159</v>
      </c>
      <c r="E18" s="24" t="s">
        <v>162</v>
      </c>
      <c r="F18" s="24" t="s">
        <v>159</v>
      </c>
      <c r="G18" s="24" t="s">
        <v>173</v>
      </c>
      <c r="H18" s="24" t="s">
        <v>160</v>
      </c>
      <c r="J18" s="5"/>
      <c r="Q18" s="19"/>
    </row>
    <row r="19" spans="1:17" ht="15.75" thickBot="1" x14ac:dyDescent="0.3">
      <c r="A19" s="25" t="s">
        <v>17</v>
      </c>
      <c r="B19" s="41" t="s">
        <v>95</v>
      </c>
      <c r="C19" s="33" t="s">
        <v>20</v>
      </c>
      <c r="D19" s="33" t="s">
        <v>163</v>
      </c>
      <c r="E19" s="41" t="s">
        <v>174</v>
      </c>
      <c r="F19" s="41" t="s">
        <v>164</v>
      </c>
      <c r="G19" s="41" t="s">
        <v>175</v>
      </c>
      <c r="H19" s="33" t="s">
        <v>165</v>
      </c>
      <c r="J19" s="7"/>
    </row>
    <row r="20" spans="1:17" s="16" customFormat="1" x14ac:dyDescent="0.25">
      <c r="A20" s="26" t="s">
        <v>43</v>
      </c>
      <c r="B20" s="40">
        <v>1747.28</v>
      </c>
      <c r="C20" s="27">
        <v>130488.77</v>
      </c>
      <c r="D20" s="40">
        <v>0</v>
      </c>
      <c r="E20" s="40">
        <v>153164.5</v>
      </c>
      <c r="F20" s="40">
        <v>281.29000000000002</v>
      </c>
      <c r="G20" s="40">
        <v>11384.97</v>
      </c>
      <c r="H20" s="27">
        <v>356.37</v>
      </c>
      <c r="J20" s="16">
        <f>SUM(B20:H20)</f>
        <v>297423.18</v>
      </c>
    </row>
    <row r="21" spans="1:17" s="18" customFormat="1" x14ac:dyDescent="0.25">
      <c r="A21" s="28" t="s">
        <v>44</v>
      </c>
      <c r="B21" s="39">
        <v>0.25190000000000001</v>
      </c>
      <c r="C21" s="29">
        <v>0.1555</v>
      </c>
      <c r="D21" s="39" t="s">
        <v>143</v>
      </c>
      <c r="E21" s="39">
        <v>0.11070000000000001</v>
      </c>
      <c r="F21" s="39">
        <v>0.32640000000000002</v>
      </c>
      <c r="G21" s="39">
        <v>0.2301</v>
      </c>
      <c r="H21" s="29">
        <v>0.49869999999999998</v>
      </c>
      <c r="J21" s="18">
        <f>AVERAGE(B21:H21)</f>
        <v>0.26221666666666665</v>
      </c>
    </row>
    <row r="22" spans="1:17" x14ac:dyDescent="0.25">
      <c r="A22" s="30" t="s">
        <v>45</v>
      </c>
      <c r="B22" s="46">
        <v>26</v>
      </c>
      <c r="C22" s="31">
        <v>1796</v>
      </c>
      <c r="D22" s="46">
        <v>0</v>
      </c>
      <c r="E22" s="49">
        <v>1430</v>
      </c>
      <c r="F22" s="46">
        <v>4</v>
      </c>
      <c r="G22" s="46">
        <v>131</v>
      </c>
      <c r="H22" s="31">
        <v>3</v>
      </c>
      <c r="J22" s="21">
        <f>SUM(B22:H22)</f>
        <v>3390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5F1D-A5A4-488E-AC4F-F4312FBB9642}">
  <dimension ref="A1:AD22"/>
  <sheetViews>
    <sheetView zoomScale="75" zoomScaleNormal="75" workbookViewId="0">
      <selection activeCell="E17" sqref="E17:E22"/>
    </sheetView>
  </sheetViews>
  <sheetFormatPr defaultRowHeight="15" x14ac:dyDescent="0.25"/>
  <cols>
    <col min="1" max="1" width="30.7109375" customWidth="1"/>
    <col min="2" max="4" width="20.7109375" customWidth="1"/>
    <col min="5" max="5" width="24.28515625" customWidth="1"/>
    <col min="6" max="6" width="20.7109375" customWidth="1"/>
    <col min="7" max="7" width="21.28515625" customWidth="1"/>
    <col min="8" max="8" width="15.85546875" customWidth="1"/>
  </cols>
  <sheetData>
    <row r="1" spans="1:30" s="2" customFormat="1" x14ac:dyDescent="0.25">
      <c r="A1" s="1" t="s">
        <v>1</v>
      </c>
      <c r="B1" s="1" t="s">
        <v>156</v>
      </c>
      <c r="C1" s="1" t="s">
        <v>48</v>
      </c>
      <c r="D1" s="1" t="s">
        <v>3</v>
      </c>
      <c r="E1" s="1" t="s">
        <v>105</v>
      </c>
      <c r="F1" s="1" t="s">
        <v>176</v>
      </c>
      <c r="H1" s="2" t="s">
        <v>14</v>
      </c>
    </row>
    <row r="2" spans="1:30" s="5" customFormat="1" ht="95.25" customHeight="1" x14ac:dyDescent="0.25">
      <c r="A2" s="3" t="s">
        <v>15</v>
      </c>
      <c r="B2" s="17" t="s">
        <v>146</v>
      </c>
      <c r="C2" s="17" t="s">
        <v>70</v>
      </c>
      <c r="D2" s="17" t="s">
        <v>16</v>
      </c>
      <c r="E2" s="17" t="s">
        <v>112</v>
      </c>
      <c r="F2" s="17" t="s">
        <v>177</v>
      </c>
      <c r="G2" s="4"/>
    </row>
    <row r="3" spans="1:30" s="4" customFormat="1" ht="15.75" thickBot="1" x14ac:dyDescent="0.3">
      <c r="A3" s="6" t="s">
        <v>17</v>
      </c>
      <c r="B3" s="42" t="s">
        <v>178</v>
      </c>
      <c r="C3" s="42" t="s">
        <v>94</v>
      </c>
      <c r="D3" s="32" t="s">
        <v>19</v>
      </c>
      <c r="E3" s="42" t="s">
        <v>118</v>
      </c>
      <c r="F3" s="42" t="s">
        <v>179</v>
      </c>
      <c r="H3" s="7"/>
    </row>
    <row r="4" spans="1:30" x14ac:dyDescent="0.25">
      <c r="A4" s="8" t="s">
        <v>30</v>
      </c>
      <c r="B4" s="9">
        <v>0</v>
      </c>
      <c r="C4" s="9">
        <v>604.82000000000005</v>
      </c>
      <c r="D4" s="9">
        <v>10239.82</v>
      </c>
      <c r="E4" s="9">
        <v>20969.79</v>
      </c>
      <c r="F4" s="9">
        <v>17812.98</v>
      </c>
      <c r="G4" s="10"/>
      <c r="H4" s="10">
        <f>SUM(B4:F4)</f>
        <v>49627.41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25">
      <c r="A5" s="11" t="s">
        <v>31</v>
      </c>
      <c r="B5" s="12">
        <v>0</v>
      </c>
      <c r="C5" s="12">
        <v>15</v>
      </c>
      <c r="D5" s="12">
        <v>508.65</v>
      </c>
      <c r="E5" s="12">
        <v>1082.0999999999999</v>
      </c>
      <c r="F5" s="12">
        <v>823.3</v>
      </c>
      <c r="G5" s="10"/>
      <c r="H5" s="10">
        <f>SUM(B5:F5)</f>
        <v>2429.0500000000002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25">
      <c r="A6" s="11" t="s">
        <v>136</v>
      </c>
      <c r="B6" s="12">
        <v>0</v>
      </c>
      <c r="C6" s="12">
        <v>80.989999999999995</v>
      </c>
      <c r="D6" s="12">
        <v>1641.53</v>
      </c>
      <c r="E6" s="12">
        <v>3381.9</v>
      </c>
      <c r="F6" s="12">
        <v>2058.3000000000002</v>
      </c>
      <c r="G6" s="10"/>
      <c r="H6" s="10">
        <f>SUM(B6:F6)</f>
        <v>7162.72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x14ac:dyDescent="0.25">
      <c r="A7" s="11" t="s">
        <v>34</v>
      </c>
      <c r="B7" s="12">
        <f>B4-B5-B6</f>
        <v>0</v>
      </c>
      <c r="C7" s="12">
        <f>C4-C5-C6</f>
        <v>508.83000000000004</v>
      </c>
      <c r="D7" s="12">
        <f>D4-D5-D6</f>
        <v>8089.64</v>
      </c>
      <c r="E7" s="12">
        <f>E4-E5-E6</f>
        <v>16505.79</v>
      </c>
      <c r="F7" s="12">
        <f>F4-F5-F6</f>
        <v>14931.380000000001</v>
      </c>
      <c r="G7" s="10"/>
      <c r="H7" s="10">
        <f>SUM(B7:F7)</f>
        <v>40035.64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s="14" customFormat="1" ht="5.45" customHeight="1" x14ac:dyDescent="0.25">
      <c r="A8" s="13"/>
      <c r="B8" s="13"/>
      <c r="C8" s="13"/>
      <c r="D8" s="13"/>
      <c r="E8" s="13"/>
      <c r="F8" s="13"/>
    </row>
    <row r="9" spans="1:30" x14ac:dyDescent="0.25">
      <c r="A9" s="11" t="s">
        <v>35</v>
      </c>
      <c r="B9" s="20">
        <v>0</v>
      </c>
      <c r="C9" s="20">
        <v>4</v>
      </c>
      <c r="D9" s="20">
        <v>103</v>
      </c>
      <c r="E9" s="20">
        <v>184</v>
      </c>
      <c r="F9" s="20">
        <v>129</v>
      </c>
      <c r="H9" s="10">
        <f>SUM(B9:F9)</f>
        <v>420</v>
      </c>
    </row>
    <row r="10" spans="1:30" x14ac:dyDescent="0.25">
      <c r="A10" s="11" t="s">
        <v>36</v>
      </c>
      <c r="B10" s="47" t="s">
        <v>143</v>
      </c>
      <c r="C10" s="12">
        <f>C4/C9</f>
        <v>151.20500000000001</v>
      </c>
      <c r="D10" s="12">
        <f>D4/D9</f>
        <v>99.415728155339806</v>
      </c>
      <c r="E10" s="12">
        <f>E4/E9</f>
        <v>113.96625</v>
      </c>
      <c r="F10" s="12">
        <f>F4/F9</f>
        <v>138.08511627906975</v>
      </c>
      <c r="G10" s="10"/>
      <c r="H10" s="10">
        <f>AVERAGE(B10:F10)</f>
        <v>125.6680236086024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1" t="s">
        <v>37</v>
      </c>
      <c r="B11" s="47" t="s">
        <v>143</v>
      </c>
      <c r="C11" s="12">
        <f>(C4-C5)/C9</f>
        <v>147.45500000000001</v>
      </c>
      <c r="D11" s="12">
        <f>(D4-D5)/D9</f>
        <v>94.477378640776706</v>
      </c>
      <c r="E11" s="12">
        <f>(E4-E5)/E9</f>
        <v>108.08527173913045</v>
      </c>
      <c r="F11" s="12">
        <f>(F4-F5)/F9</f>
        <v>131.70294573643412</v>
      </c>
      <c r="G11" s="10"/>
      <c r="H11" s="10">
        <f>AVERAGE(B11:F11)</f>
        <v>120.43014902908533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30" x14ac:dyDescent="0.25">
      <c r="A12" s="15" t="s">
        <v>38</v>
      </c>
      <c r="B12" s="47" t="s">
        <v>143</v>
      </c>
      <c r="C12" s="12">
        <f>(C4-C5-C6)/C9</f>
        <v>127.20750000000001</v>
      </c>
      <c r="D12" s="12">
        <f>(D4-D5-D6)/D9</f>
        <v>78.540194174757289</v>
      </c>
      <c r="E12" s="12">
        <f>(E4-E5-E6)/E9</f>
        <v>89.705380434782612</v>
      </c>
      <c r="F12" s="12">
        <f>(F4-F5-F6)/F9</f>
        <v>115.74713178294574</v>
      </c>
      <c r="G12" s="10"/>
      <c r="H12" s="10">
        <f>AVERAGE(B12:F12)</f>
        <v>102.80005159812141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s="14" customFormat="1" ht="5.45" customHeight="1" x14ac:dyDescent="0.25">
      <c r="A13" s="13"/>
      <c r="B13" s="13"/>
      <c r="C13" s="13"/>
      <c r="D13" s="13"/>
      <c r="E13" s="13"/>
      <c r="F13" s="13"/>
    </row>
    <row r="14" spans="1:30" ht="30" x14ac:dyDescent="0.25">
      <c r="A14" s="15" t="s">
        <v>39</v>
      </c>
      <c r="B14" s="47" t="s">
        <v>143</v>
      </c>
      <c r="C14" s="12">
        <f>C10-C12</f>
        <v>23.997500000000002</v>
      </c>
      <c r="D14" s="12">
        <f>D10-D12</f>
        <v>20.875533980582517</v>
      </c>
      <c r="E14" s="12">
        <f>E10-E12</f>
        <v>24.260869565217391</v>
      </c>
      <c r="F14" s="12">
        <f>F10-F12</f>
        <v>22.337984496124008</v>
      </c>
      <c r="G14" s="10"/>
      <c r="H14" s="10">
        <f>AVERAGE(B14:F14)</f>
        <v>22.86797201048098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30" x14ac:dyDescent="0.25">
      <c r="A15" s="15" t="s">
        <v>40</v>
      </c>
      <c r="B15" s="47" t="s">
        <v>143</v>
      </c>
      <c r="C15" s="12">
        <f>C11-C12</f>
        <v>20.247500000000002</v>
      </c>
      <c r="D15" s="12">
        <f>D11-D12</f>
        <v>15.937184466019417</v>
      </c>
      <c r="E15" s="12">
        <f>E11-E12</f>
        <v>18.379891304347836</v>
      </c>
      <c r="F15" s="12">
        <f>F11-F12</f>
        <v>15.955813953488374</v>
      </c>
      <c r="G15" s="10"/>
      <c r="H15" s="10">
        <f>AVERAGE(B15:F15)</f>
        <v>17.630097430963907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7" spans="1:16" x14ac:dyDescent="0.25">
      <c r="A17" s="22" t="s">
        <v>42</v>
      </c>
      <c r="B17" s="22" t="s">
        <v>156</v>
      </c>
      <c r="C17" s="22" t="s">
        <v>48</v>
      </c>
      <c r="D17" s="22" t="s">
        <v>3</v>
      </c>
      <c r="E17" s="22" t="s">
        <v>105</v>
      </c>
      <c r="H17" s="2"/>
    </row>
    <row r="18" spans="1:16" ht="88.5" customHeight="1" x14ac:dyDescent="0.25">
      <c r="A18" s="23" t="s">
        <v>15</v>
      </c>
      <c r="B18" s="24" t="s">
        <v>146</v>
      </c>
      <c r="C18" s="24" t="s">
        <v>70</v>
      </c>
      <c r="D18" s="24" t="s">
        <v>16</v>
      </c>
      <c r="E18" s="24" t="s">
        <v>112</v>
      </c>
      <c r="H18" s="5"/>
      <c r="P18" s="19"/>
    </row>
    <row r="19" spans="1:16" ht="15.75" thickBot="1" x14ac:dyDescent="0.3">
      <c r="A19" s="25" t="s">
        <v>17</v>
      </c>
      <c r="B19" s="41" t="s">
        <v>178</v>
      </c>
      <c r="C19" s="41" t="s">
        <v>94</v>
      </c>
      <c r="D19" s="33" t="s">
        <v>19</v>
      </c>
      <c r="E19" s="41" t="s">
        <v>118</v>
      </c>
      <c r="H19" s="7"/>
    </row>
    <row r="20" spans="1:16" s="16" customFormat="1" x14ac:dyDescent="0.25">
      <c r="A20" s="26" t="s">
        <v>43</v>
      </c>
      <c r="B20" s="40">
        <v>0</v>
      </c>
      <c r="C20" s="40">
        <v>799.69</v>
      </c>
      <c r="D20" s="27">
        <v>129153.69</v>
      </c>
      <c r="E20" s="40">
        <v>134122.18</v>
      </c>
      <c r="F20"/>
      <c r="H20" s="16">
        <f>SUM(B20:F20)</f>
        <v>264075.56</v>
      </c>
    </row>
    <row r="21" spans="1:16" s="18" customFormat="1" x14ac:dyDescent="0.25">
      <c r="A21" s="28" t="s">
        <v>44</v>
      </c>
      <c r="B21" s="39" t="s">
        <v>143</v>
      </c>
      <c r="C21" s="39">
        <v>0.15709999999999999</v>
      </c>
      <c r="D21" s="29">
        <v>0.15049999999999999</v>
      </c>
      <c r="E21" s="39">
        <v>0.1457</v>
      </c>
      <c r="F21"/>
      <c r="H21" s="18">
        <f>AVERAGE(B21:F21)</f>
        <v>0.15109999999999998</v>
      </c>
    </row>
    <row r="22" spans="1:16" x14ac:dyDescent="0.25">
      <c r="A22" s="30" t="s">
        <v>45</v>
      </c>
      <c r="B22" s="46">
        <v>0</v>
      </c>
      <c r="C22" s="46">
        <v>17</v>
      </c>
      <c r="D22" s="31">
        <v>1761</v>
      </c>
      <c r="E22" s="38">
        <v>1377</v>
      </c>
      <c r="H22" s="21">
        <f>SUM(B22:F22)</f>
        <v>3155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B21E-0E1A-4CAB-B757-92EAE4F43614}">
  <dimension ref="A1:Z22"/>
  <sheetViews>
    <sheetView zoomScale="75" zoomScaleNormal="75" workbookViewId="0">
      <selection activeCell="B10" sqref="B10"/>
    </sheetView>
  </sheetViews>
  <sheetFormatPr defaultRowHeight="15" x14ac:dyDescent="0.25"/>
  <cols>
    <col min="1" max="1" width="30.7109375" customWidth="1"/>
    <col min="2" max="2" width="20.7109375" customWidth="1"/>
    <col min="3" max="3" width="21.28515625" customWidth="1"/>
    <col min="4" max="4" width="15.85546875" customWidth="1"/>
  </cols>
  <sheetData>
    <row r="1" spans="1:26" s="2" customFormat="1" x14ac:dyDescent="0.25">
      <c r="A1" s="1" t="s">
        <v>1</v>
      </c>
      <c r="B1" s="1" t="s">
        <v>2</v>
      </c>
      <c r="D1" s="2" t="s">
        <v>14</v>
      </c>
    </row>
    <row r="2" spans="1:26" s="5" customFormat="1" ht="85.5" customHeight="1" x14ac:dyDescent="0.25">
      <c r="A2" s="3" t="s">
        <v>15</v>
      </c>
      <c r="B2" s="17" t="s">
        <v>16</v>
      </c>
      <c r="C2" s="4"/>
    </row>
    <row r="3" spans="1:26" s="4" customFormat="1" ht="15.75" thickBot="1" x14ac:dyDescent="0.3">
      <c r="A3" s="6" t="s">
        <v>17</v>
      </c>
      <c r="B3" s="32" t="s">
        <v>18</v>
      </c>
      <c r="D3" s="7"/>
    </row>
    <row r="4" spans="1:26" x14ac:dyDescent="0.25">
      <c r="A4" s="8" t="s">
        <v>30</v>
      </c>
      <c r="B4" s="9">
        <v>11520.21</v>
      </c>
      <c r="C4" s="10"/>
      <c r="D4" s="10">
        <f>SUM(B4:B4)</f>
        <v>11520.21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1" t="s">
        <v>31</v>
      </c>
      <c r="B5" s="12">
        <v>559.5</v>
      </c>
      <c r="C5" s="10"/>
      <c r="D5" s="10">
        <f>SUM(B5:B5)</f>
        <v>559.5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1" t="s">
        <v>136</v>
      </c>
      <c r="B6" s="12">
        <v>1558.17</v>
      </c>
      <c r="C6" s="10"/>
      <c r="D6" s="10">
        <f>SUM(B6:B6)</f>
        <v>1558.17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1" t="s">
        <v>34</v>
      </c>
      <c r="B7" s="12">
        <f>B4-B5-B6</f>
        <v>9402.5399999999991</v>
      </c>
      <c r="C7" s="10"/>
      <c r="D7" s="10">
        <f>SUM(B7:B7)</f>
        <v>9402.5399999999991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14" customFormat="1" ht="5.45" customHeight="1" x14ac:dyDescent="0.25">
      <c r="A8" s="13"/>
      <c r="B8" s="13"/>
    </row>
    <row r="9" spans="1:26" x14ac:dyDescent="0.25">
      <c r="A9" s="11" t="s">
        <v>35</v>
      </c>
      <c r="B9" s="20">
        <v>101</v>
      </c>
      <c r="D9" s="50">
        <f>SUM(B9:B9)</f>
        <v>101</v>
      </c>
    </row>
    <row r="10" spans="1:26" x14ac:dyDescent="0.25">
      <c r="A10" s="11" t="s">
        <v>36</v>
      </c>
      <c r="B10" s="12">
        <f>B4/B9</f>
        <v>114.06148514851485</v>
      </c>
      <c r="C10" s="10"/>
      <c r="D10" s="10">
        <f>AVERAGE(B10:B10)</f>
        <v>114.06148514851485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1" t="s">
        <v>37</v>
      </c>
      <c r="B11" s="12">
        <f>(B4-B5)/B9</f>
        <v>108.5218811881188</v>
      </c>
      <c r="C11" s="10"/>
      <c r="D11" s="10">
        <f>AVERAGE(B11:B11)</f>
        <v>108.5218811881188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0" x14ac:dyDescent="0.25">
      <c r="A12" s="15" t="s">
        <v>38</v>
      </c>
      <c r="B12" s="12">
        <f>(B4-B5-B6)/B9</f>
        <v>93.09445544554454</v>
      </c>
      <c r="C12" s="10"/>
      <c r="D12" s="10">
        <f>AVERAGE(B12:B12)</f>
        <v>93.09445544554454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14" customFormat="1" ht="5.45" customHeight="1" x14ac:dyDescent="0.25">
      <c r="A13" s="13"/>
      <c r="B13" s="13"/>
    </row>
    <row r="14" spans="1:26" ht="30" x14ac:dyDescent="0.25">
      <c r="A14" s="15" t="s">
        <v>39</v>
      </c>
      <c r="B14" s="12">
        <f>B10-B12</f>
        <v>20.967029702970308</v>
      </c>
      <c r="C14" s="10"/>
      <c r="D14" s="10">
        <f>SUM(B14:B14)</f>
        <v>20.967029702970308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0" x14ac:dyDescent="0.25">
      <c r="A15" s="15" t="s">
        <v>40</v>
      </c>
      <c r="B15" s="12">
        <f>B11-B12</f>
        <v>15.427425742574258</v>
      </c>
      <c r="C15" s="10"/>
      <c r="D15" s="10">
        <f>SUM(B15:B15)</f>
        <v>15.427425742574258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7" spans="1:12" x14ac:dyDescent="0.25">
      <c r="A17" s="22" t="s">
        <v>42</v>
      </c>
      <c r="B17" s="22" t="s">
        <v>2</v>
      </c>
      <c r="D17" s="2"/>
    </row>
    <row r="18" spans="1:12" ht="88.5" customHeight="1" x14ac:dyDescent="0.25">
      <c r="A18" s="23" t="s">
        <v>15</v>
      </c>
      <c r="B18" s="24" t="s">
        <v>16</v>
      </c>
      <c r="D18" s="5"/>
      <c r="L18" s="19"/>
    </row>
    <row r="19" spans="1:12" ht="15.75" thickBot="1" x14ac:dyDescent="0.3">
      <c r="A19" s="25" t="s">
        <v>17</v>
      </c>
      <c r="B19" s="33" t="s">
        <v>18</v>
      </c>
      <c r="D19" s="7"/>
    </row>
    <row r="20" spans="1:12" s="16" customFormat="1" x14ac:dyDescent="0.25">
      <c r="A20" s="26" t="s">
        <v>43</v>
      </c>
      <c r="B20" s="27">
        <v>114104.6</v>
      </c>
      <c r="D20" s="16">
        <f>SUM(B20:B20)</f>
        <v>114104.6</v>
      </c>
    </row>
    <row r="21" spans="1:12" s="18" customFormat="1" x14ac:dyDescent="0.25">
      <c r="A21" s="28" t="s">
        <v>44</v>
      </c>
      <c r="B21" s="29">
        <v>0.1532</v>
      </c>
      <c r="D21" s="18">
        <f>AVERAGE(B21:B21)</f>
        <v>0.1532</v>
      </c>
    </row>
    <row r="22" spans="1:12" x14ac:dyDescent="0.25">
      <c r="A22" s="30" t="s">
        <v>45</v>
      </c>
      <c r="B22" s="31">
        <v>1646</v>
      </c>
      <c r="D22" s="21">
        <f>SUM(B22:B22)</f>
        <v>1646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6FCFC3800084F925CBDE9DDE5AFD9" ma:contentTypeVersion="20" ma:contentTypeDescription="Create a new document." ma:contentTypeScope="" ma:versionID="1224b4e3ebea9c7aa674792b869495f9">
  <xsd:schema xmlns:xsd="http://www.w3.org/2001/XMLSchema" xmlns:xs="http://www.w3.org/2001/XMLSchema" xmlns:p="http://schemas.microsoft.com/office/2006/metadata/properties" xmlns:ns1="http://schemas.microsoft.com/sharepoint/v3" xmlns:ns2="ff101762-23d1-4ba0-9cbe-7a45c59d2c20" xmlns:ns3="aec28e0a-ab32-4f87-a753-0b9a60fcea8a" xmlns:ns4="e977b2b5-3911-4478-b2ae-72d10252f2ad" targetNamespace="http://schemas.microsoft.com/office/2006/metadata/properties" ma:root="true" ma:fieldsID="72d68fb9ea6ec6eb01fc5a721def560b" ns1:_="" ns2:_="" ns3:_="" ns4:_="">
    <xsd:import namespace="http://schemas.microsoft.com/sharepoint/v3"/>
    <xsd:import namespace="ff101762-23d1-4ba0-9cbe-7a45c59d2c20"/>
    <xsd:import namespace="aec28e0a-ab32-4f87-a753-0b9a60fcea8a"/>
    <xsd:import namespace="e977b2b5-3911-4478-b2ae-72d10252f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1:LikesCount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11" nillable="true" ma:displayName="Number of Likes" ma:internalName="LikesCount">
      <xsd:simpleType>
        <xsd:restriction base="dms:Unknown"/>
      </xsd:simpleType>
    </xsd:element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01762-23d1-4ba0-9cbe-7a45c59d2c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28e0a-ab32-4f87-a753-0b9a60fcea8a" elementFormDefault="qualified">
    <xsd:import namespace="http://schemas.microsoft.com/office/2006/documentManagement/types"/>
    <xsd:import namespace="http://schemas.microsoft.com/office/infopath/2007/PartnerControls"/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1" nillable="true" ma:displayName="Taxonomy Catch All Column" ma:hidden="true" ma:list="{91c5a65a-e816-45e1-ae98-53b72d7d2d0a}" ma:internalName="TaxCatchAll" ma:showField="CatchAllData" ma:web="aec28e0a-ab32-4f87-a753-0b9a60fce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7b2b5-3911-4478-b2ae-72d10252f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cd2f6036-0c38-4e64-9a14-852f3064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977b2b5-3911-4478-b2ae-72d10252f2ad">
      <Terms xmlns="http://schemas.microsoft.com/office/infopath/2007/PartnerControls"/>
    </lcf76f155ced4ddcb4097134ff3c332f>
    <TaxCatchAll xmlns="aec28e0a-ab32-4f87-a753-0b9a60fcea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10AE9-6E7A-4FF2-BC42-6CBA2470C1D1}"/>
</file>

<file path=customXml/itemProps2.xml><?xml version="1.0" encoding="utf-8"?>
<ds:datastoreItem xmlns:ds="http://schemas.openxmlformats.org/officeDocument/2006/customXml" ds:itemID="{058A1822-66F5-4052-81F1-71276EF18B5C}">
  <ds:schemaRefs>
    <ds:schemaRef ds:uri="http://schemas.microsoft.com/sharepoint/v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ec28e0a-ab32-4f87-a753-0b9a60fcea8a"/>
    <ds:schemaRef ds:uri="e977b2b5-3911-4478-b2ae-72d10252f2ad"/>
    <ds:schemaRef ds:uri="http://purl.org/dc/elements/1.1/"/>
    <ds:schemaRef ds:uri="ff101762-23d1-4ba0-9cbe-7a45c59d2c2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352E424-7093-4637-84EC-DFB22A7ABF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December 2023</vt:lpstr>
      <vt:lpstr>November 2023</vt:lpstr>
      <vt:lpstr>October 2023</vt:lpstr>
      <vt:lpstr>September 2023</vt:lpstr>
      <vt:lpstr>August 2023</vt:lpstr>
      <vt:lpstr>July 2023</vt:lpstr>
      <vt:lpstr>June 2023</vt:lpstr>
      <vt:lpstr>May 2023</vt:lpstr>
      <vt:lpstr>April 2023</vt:lpstr>
      <vt:lpstr>March 2023</vt:lpstr>
      <vt:lpstr>Feb 2023</vt:lpstr>
      <vt:lpstr>Jan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Hanzelko, Tim</dc:creator>
  <cp:keywords/>
  <dc:description/>
  <cp:lastModifiedBy>Hanzelko, Tim</cp:lastModifiedBy>
  <cp:revision/>
  <dcterms:created xsi:type="dcterms:W3CDTF">2021-08-06T14:22:02Z</dcterms:created>
  <dcterms:modified xsi:type="dcterms:W3CDTF">2024-04-23T20:08:10Z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0x010100B936FCFC3800084F925CBDE9DDE5AFD9</vt:lpwstr>
  </property>
</Properties>
</file>