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cfws.sharepoint.com/marketing/Shared Team Documents/Reporting/Promotions/ABC Promotions/"/>
    </mc:Choice>
  </mc:AlternateContent>
  <xr:revisionPtr revIDLastSave="1062" documentId="8_{C8ED1093-2E80-4285-BCB2-7A689656ECF5}" xr6:coauthVersionLast="47" xr6:coauthVersionMax="47" xr10:uidLastSave="{5DC0AFE0-09A6-4E28-AAFA-441B7A9DCF71}"/>
  <bookViews>
    <workbookView xWindow="2688" yWindow="924" windowWidth="19044" windowHeight="12036" activeTab="1" xr2:uid="{7B7B8701-3173-42C6-8A70-14DB2644476F}"/>
  </bookViews>
  <sheets>
    <sheet name="Summary" sheetId="15" r:id="rId1"/>
    <sheet name="Dec 2024" sheetId="24" r:id="rId2"/>
    <sheet name="Nov 2024" sheetId="23" r:id="rId3"/>
    <sheet name="Oct 2024" sheetId="22" r:id="rId4"/>
    <sheet name="Sept 2024" sheetId="21" r:id="rId5"/>
    <sheet name="Aug 2024" sheetId="20" r:id="rId6"/>
    <sheet name="July 2024" sheetId="19" r:id="rId7"/>
    <sheet name="June 2024" sheetId="18" r:id="rId8"/>
    <sheet name="May 2024" sheetId="17" r:id="rId9"/>
    <sheet name="Apr 2024" sheetId="16" r:id="rId10"/>
    <sheet name="Mar 2024" sheetId="14" r:id="rId11"/>
    <sheet name="Feb 2024" sheetId="13" r:id="rId12"/>
    <sheet name="Jan 2024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4" l="1"/>
  <c r="D16" i="24"/>
  <c r="D15" i="24"/>
  <c r="D8" i="24"/>
  <c r="H55" i="15"/>
  <c r="H45" i="15"/>
  <c r="H44" i="15"/>
  <c r="H37" i="15"/>
  <c r="P11" i="15"/>
  <c r="P5" i="15"/>
  <c r="N27" i="15"/>
  <c r="N18" i="15"/>
  <c r="N14" i="15"/>
  <c r="N13" i="15"/>
  <c r="N17" i="15" s="1"/>
  <c r="N12" i="15"/>
  <c r="N16" i="15" s="1"/>
  <c r="N9" i="15"/>
  <c r="M18" i="15"/>
  <c r="M14" i="15"/>
  <c r="M13" i="15"/>
  <c r="M17" i="15" s="1"/>
  <c r="M12" i="15"/>
  <c r="M16" i="15" s="1"/>
  <c r="M9" i="15"/>
  <c r="L12" i="15"/>
  <c r="L13" i="15"/>
  <c r="L14" i="15"/>
  <c r="L16" i="15"/>
  <c r="L17" i="15"/>
  <c r="L18" i="15"/>
  <c r="C11" i="23"/>
  <c r="C12" i="23"/>
  <c r="C13" i="23"/>
  <c r="C17" i="23"/>
  <c r="E17" i="23"/>
  <c r="E4" i="23"/>
  <c r="E10" i="23"/>
  <c r="I10" i="24"/>
  <c r="I5" i="24"/>
  <c r="I6" i="24"/>
  <c r="I7" i="24"/>
  <c r="I4" i="24"/>
  <c r="C17" i="24"/>
  <c r="C13" i="24"/>
  <c r="C12" i="24"/>
  <c r="C16" i="24" s="1"/>
  <c r="C11" i="24"/>
  <c r="C15" i="24" s="1"/>
  <c r="C8" i="24"/>
  <c r="B26" i="24"/>
  <c r="I25" i="24"/>
  <c r="I24" i="24"/>
  <c r="I23" i="24"/>
  <c r="I22" i="24"/>
  <c r="I26" i="24" s="1"/>
  <c r="B17" i="24"/>
  <c r="B13" i="24"/>
  <c r="I13" i="24" s="1"/>
  <c r="B12" i="24"/>
  <c r="B11" i="24"/>
  <c r="B8" i="24"/>
  <c r="I8" i="24" s="1"/>
  <c r="I17" i="24"/>
  <c r="M27" i="15"/>
  <c r="G68" i="15"/>
  <c r="G69" i="15"/>
  <c r="G70" i="15"/>
  <c r="G73" i="15"/>
  <c r="G72" i="15"/>
  <c r="G65" i="15"/>
  <c r="G83" i="15"/>
  <c r="E25" i="23"/>
  <c r="E24" i="23"/>
  <c r="E23" i="23"/>
  <c r="E22" i="23"/>
  <c r="B26" i="23"/>
  <c r="B17" i="23"/>
  <c r="B13" i="23"/>
  <c r="B12" i="23"/>
  <c r="B16" i="23" s="1"/>
  <c r="B11" i="23"/>
  <c r="B15" i="23" s="1"/>
  <c r="B8" i="23"/>
  <c r="L27" i="15"/>
  <c r="L9" i="15"/>
  <c r="C26" i="23"/>
  <c r="E26" i="23"/>
  <c r="E13" i="23"/>
  <c r="C8" i="23"/>
  <c r="E8" i="23" s="1"/>
  <c r="E7" i="23"/>
  <c r="E6" i="23"/>
  <c r="E5" i="23"/>
  <c r="K27" i="15"/>
  <c r="K18" i="15"/>
  <c r="K14" i="15"/>
  <c r="K13" i="15"/>
  <c r="K17" i="15" s="1"/>
  <c r="K12" i="15"/>
  <c r="K16" i="15" s="1"/>
  <c r="K9" i="15"/>
  <c r="B26" i="22"/>
  <c r="D25" i="22"/>
  <c r="D24" i="22"/>
  <c r="D23" i="22"/>
  <c r="D22" i="22"/>
  <c r="D26" i="22" s="1"/>
  <c r="B17" i="22"/>
  <c r="B13" i="22"/>
  <c r="D13" i="22" s="1"/>
  <c r="B12" i="22"/>
  <c r="B11" i="22"/>
  <c r="D10" i="22"/>
  <c r="B8" i="22"/>
  <c r="D8" i="22"/>
  <c r="D7" i="22"/>
  <c r="D6" i="22"/>
  <c r="D5" i="22"/>
  <c r="D4" i="22"/>
  <c r="D17" i="22" s="1"/>
  <c r="G55" i="15"/>
  <c r="G46" i="15"/>
  <c r="G42" i="15"/>
  <c r="G41" i="15"/>
  <c r="G45" i="15" s="1"/>
  <c r="G40" i="15"/>
  <c r="G44" i="15" s="1"/>
  <c r="G37" i="15"/>
  <c r="J27" i="15"/>
  <c r="J18" i="15"/>
  <c r="J14" i="15"/>
  <c r="J13" i="15"/>
  <c r="J17" i="15" s="1"/>
  <c r="J12" i="15"/>
  <c r="J16" i="15" s="1"/>
  <c r="J9" i="15"/>
  <c r="I16" i="21"/>
  <c r="I15" i="21"/>
  <c r="I13" i="21"/>
  <c r="I12" i="21"/>
  <c r="I11" i="21"/>
  <c r="I10" i="21"/>
  <c r="I5" i="21"/>
  <c r="I6" i="21"/>
  <c r="I7" i="21"/>
  <c r="I8" i="21"/>
  <c r="I4" i="21"/>
  <c r="I23" i="21"/>
  <c r="I24" i="21"/>
  <c r="I25" i="21"/>
  <c r="I22" i="21"/>
  <c r="I26" i="21"/>
  <c r="B16" i="21"/>
  <c r="B15" i="21"/>
  <c r="B8" i="21"/>
  <c r="G16" i="21"/>
  <c r="G15" i="21"/>
  <c r="G8" i="21"/>
  <c r="F16" i="21"/>
  <c r="F15" i="21"/>
  <c r="F8" i="21"/>
  <c r="C26" i="21"/>
  <c r="C17" i="21"/>
  <c r="C13" i="21"/>
  <c r="C12" i="21"/>
  <c r="C16" i="21" s="1"/>
  <c r="C11" i="21"/>
  <c r="C15" i="21" s="1"/>
  <c r="C8" i="21"/>
  <c r="E16" i="21"/>
  <c r="E15" i="21"/>
  <c r="E8" i="21"/>
  <c r="D26" i="21"/>
  <c r="D17" i="21"/>
  <c r="D13" i="21"/>
  <c r="D12" i="21"/>
  <c r="D16" i="21" s="1"/>
  <c r="D11" i="21"/>
  <c r="D15" i="21" s="1"/>
  <c r="D8" i="21"/>
  <c r="I17" i="21"/>
  <c r="I27" i="15"/>
  <c r="I18" i="15"/>
  <c r="I14" i="15"/>
  <c r="I13" i="15"/>
  <c r="I17" i="15" s="1"/>
  <c r="I12" i="15"/>
  <c r="I16" i="15" s="1"/>
  <c r="I9" i="15"/>
  <c r="F83" i="15"/>
  <c r="F74" i="15"/>
  <c r="F70" i="15"/>
  <c r="F69" i="15"/>
  <c r="F73" i="15" s="1"/>
  <c r="F68" i="15"/>
  <c r="F72" i="15" s="1"/>
  <c r="F65" i="15"/>
  <c r="F55" i="15"/>
  <c r="F46" i="15"/>
  <c r="F42" i="15"/>
  <c r="F41" i="15"/>
  <c r="F45" i="15" s="1"/>
  <c r="F40" i="15"/>
  <c r="F44" i="15" s="1"/>
  <c r="F37" i="15"/>
  <c r="D26" i="20"/>
  <c r="D17" i="20"/>
  <c r="D13" i="20"/>
  <c r="D12" i="20"/>
  <c r="D16" i="20" s="1"/>
  <c r="D11" i="20"/>
  <c r="D15" i="20" s="1"/>
  <c r="D8" i="20"/>
  <c r="C26" i="20"/>
  <c r="C17" i="20"/>
  <c r="C13" i="20"/>
  <c r="C12" i="20"/>
  <c r="C16" i="20" s="1"/>
  <c r="C11" i="20"/>
  <c r="C15" i="20" s="1"/>
  <c r="C8" i="20"/>
  <c r="B26" i="20"/>
  <c r="B17" i="20"/>
  <c r="B13" i="20"/>
  <c r="B12" i="20"/>
  <c r="B16" i="20" s="1"/>
  <c r="B11" i="20"/>
  <c r="B15" i="20" s="1"/>
  <c r="B8" i="20"/>
  <c r="F25" i="20"/>
  <c r="F24" i="20"/>
  <c r="F23" i="20"/>
  <c r="F22" i="20"/>
  <c r="F26" i="20" s="1"/>
  <c r="F13" i="20"/>
  <c r="F10" i="20"/>
  <c r="F8" i="20"/>
  <c r="F7" i="20"/>
  <c r="F6" i="20"/>
  <c r="F5" i="20"/>
  <c r="F4" i="20"/>
  <c r="F17" i="20" s="1"/>
  <c r="B26" i="19"/>
  <c r="D25" i="19"/>
  <c r="D24" i="19"/>
  <c r="D23" i="19"/>
  <c r="D22" i="19"/>
  <c r="D26" i="19" s="1"/>
  <c r="B17" i="19"/>
  <c r="B13" i="19"/>
  <c r="D13" i="19" s="1"/>
  <c r="B12" i="19"/>
  <c r="B11" i="19"/>
  <c r="D10" i="19"/>
  <c r="B8" i="19"/>
  <c r="D8" i="19" s="1"/>
  <c r="D7" i="19"/>
  <c r="D6" i="19"/>
  <c r="D5" i="19"/>
  <c r="D4" i="19"/>
  <c r="D17" i="19" s="1"/>
  <c r="H27" i="15"/>
  <c r="H18" i="15"/>
  <c r="H14" i="15"/>
  <c r="H13" i="15"/>
  <c r="H17" i="15" s="1"/>
  <c r="H12" i="15"/>
  <c r="H16" i="15" s="1"/>
  <c r="H9" i="15"/>
  <c r="P26" i="15"/>
  <c r="P25" i="15"/>
  <c r="P24" i="15"/>
  <c r="P23" i="15"/>
  <c r="P8" i="15"/>
  <c r="P7" i="15"/>
  <c r="P6" i="15"/>
  <c r="P27" i="15"/>
  <c r="P18" i="15"/>
  <c r="E83" i="15"/>
  <c r="E74" i="15"/>
  <c r="E70" i="15"/>
  <c r="E69" i="15"/>
  <c r="E73" i="15" s="1"/>
  <c r="E68" i="15"/>
  <c r="E72" i="15" s="1"/>
  <c r="E65" i="15"/>
  <c r="E55" i="15"/>
  <c r="D55" i="15"/>
  <c r="E46" i="15"/>
  <c r="D46" i="15"/>
  <c r="E42" i="15"/>
  <c r="D42" i="15"/>
  <c r="E41" i="15"/>
  <c r="E45" i="15" s="1"/>
  <c r="D41" i="15"/>
  <c r="D45" i="15" s="1"/>
  <c r="E40" i="15"/>
  <c r="E44" i="15" s="1"/>
  <c r="D40" i="15"/>
  <c r="D44" i="15" s="1"/>
  <c r="E37" i="15"/>
  <c r="D37" i="15"/>
  <c r="G22" i="18"/>
  <c r="G17" i="18"/>
  <c r="G16" i="18"/>
  <c r="G15" i="18"/>
  <c r="G13" i="18"/>
  <c r="G12" i="18"/>
  <c r="G11" i="18"/>
  <c r="G10" i="18"/>
  <c r="G6" i="18"/>
  <c r="G5" i="18"/>
  <c r="G4" i="18"/>
  <c r="G8" i="18"/>
  <c r="G7" i="18"/>
  <c r="E26" i="18"/>
  <c r="E17" i="18"/>
  <c r="E13" i="18"/>
  <c r="E12" i="18"/>
  <c r="E16" i="18" s="1"/>
  <c r="E11" i="18"/>
  <c r="E15" i="18" s="1"/>
  <c r="E8" i="18"/>
  <c r="D26" i="18"/>
  <c r="D17" i="18"/>
  <c r="D13" i="18"/>
  <c r="D12" i="18"/>
  <c r="D16" i="18" s="1"/>
  <c r="D11" i="18"/>
  <c r="D15" i="18" s="1"/>
  <c r="D8" i="18"/>
  <c r="C26" i="18"/>
  <c r="C17" i="18"/>
  <c r="C13" i="18"/>
  <c r="C12" i="18"/>
  <c r="C16" i="18" s="1"/>
  <c r="C11" i="18"/>
  <c r="C15" i="18" s="1"/>
  <c r="C8" i="18"/>
  <c r="B26" i="18"/>
  <c r="G25" i="18"/>
  <c r="G24" i="18"/>
  <c r="G23" i="18"/>
  <c r="G26" i="18"/>
  <c r="B17" i="18"/>
  <c r="B13" i="18"/>
  <c r="B12" i="18"/>
  <c r="B11" i="18"/>
  <c r="B8" i="18"/>
  <c r="G18" i="15"/>
  <c r="G14" i="15"/>
  <c r="G13" i="15"/>
  <c r="G17" i="15" s="1"/>
  <c r="G12" i="15"/>
  <c r="G16" i="15" s="1"/>
  <c r="G9" i="15"/>
  <c r="G27" i="15"/>
  <c r="C16" i="17"/>
  <c r="C15" i="17"/>
  <c r="C8" i="17"/>
  <c r="C26" i="17"/>
  <c r="B26" i="17"/>
  <c r="E25" i="17"/>
  <c r="E24" i="17"/>
  <c r="E23" i="17"/>
  <c r="E22" i="17"/>
  <c r="E26" i="17" s="1"/>
  <c r="B17" i="17"/>
  <c r="B13" i="17"/>
  <c r="E13" i="17"/>
  <c r="B12" i="17"/>
  <c r="B16" i="17" s="1"/>
  <c r="B11" i="17"/>
  <c r="B15" i="17" s="1"/>
  <c r="E10" i="17"/>
  <c r="B8" i="17"/>
  <c r="E8" i="17"/>
  <c r="E7" i="17"/>
  <c r="E6" i="17"/>
  <c r="E5" i="17"/>
  <c r="E4" i="17"/>
  <c r="E17" i="17" s="1"/>
  <c r="F27" i="15"/>
  <c r="F18" i="15"/>
  <c r="F14" i="15"/>
  <c r="F13" i="15"/>
  <c r="F17" i="15" s="1"/>
  <c r="F12" i="15"/>
  <c r="F16" i="15" s="1"/>
  <c r="F9" i="15"/>
  <c r="D74" i="15"/>
  <c r="D70" i="15"/>
  <c r="D69" i="15"/>
  <c r="D73" i="15" s="1"/>
  <c r="D68" i="15"/>
  <c r="D72" i="15" s="1"/>
  <c r="D65" i="15"/>
  <c r="C83" i="15"/>
  <c r="D83" i="15"/>
  <c r="C74" i="15"/>
  <c r="C70" i="15"/>
  <c r="C69" i="15"/>
  <c r="C73" i="15" s="1"/>
  <c r="C68" i="15"/>
  <c r="C72" i="15" s="1"/>
  <c r="C65" i="15"/>
  <c r="B83" i="15"/>
  <c r="B74" i="15"/>
  <c r="B70" i="15"/>
  <c r="B69" i="15"/>
  <c r="B73" i="15" s="1"/>
  <c r="B68" i="15"/>
  <c r="B72" i="15" s="1"/>
  <c r="B65" i="15"/>
  <c r="C55" i="15"/>
  <c r="C46" i="15"/>
  <c r="C42" i="15"/>
  <c r="C41" i="15"/>
  <c r="C45" i="15" s="1"/>
  <c r="C40" i="15"/>
  <c r="C44" i="15" s="1"/>
  <c r="C37" i="15"/>
  <c r="B55" i="15"/>
  <c r="B46" i="15"/>
  <c r="B42" i="15"/>
  <c r="B41" i="15"/>
  <c r="B45" i="15" s="1"/>
  <c r="B40" i="15"/>
  <c r="B44" i="15" s="1"/>
  <c r="B37" i="15"/>
  <c r="E27" i="15"/>
  <c r="E18" i="15"/>
  <c r="E14" i="15"/>
  <c r="E13" i="15"/>
  <c r="E17" i="15" s="1"/>
  <c r="E12" i="15"/>
  <c r="E16" i="15" s="1"/>
  <c r="E9" i="15"/>
  <c r="P9" i="15" s="1"/>
  <c r="D27" i="15"/>
  <c r="D18" i="15"/>
  <c r="D14" i="15"/>
  <c r="D13" i="15"/>
  <c r="D17" i="15" s="1"/>
  <c r="D12" i="15"/>
  <c r="D16" i="15" s="1"/>
  <c r="D9" i="15"/>
  <c r="C27" i="15"/>
  <c r="B27" i="15"/>
  <c r="C18" i="15"/>
  <c r="B18" i="15"/>
  <c r="C14" i="15"/>
  <c r="B14" i="15"/>
  <c r="P14" i="15" s="1"/>
  <c r="C13" i="15"/>
  <c r="C17" i="15" s="1"/>
  <c r="B13" i="15"/>
  <c r="C12" i="15"/>
  <c r="C16" i="15" s="1"/>
  <c r="B12" i="15"/>
  <c r="C9" i="15"/>
  <c r="B9" i="15"/>
  <c r="G25" i="16"/>
  <c r="G24" i="16"/>
  <c r="G23" i="16"/>
  <c r="G22" i="16"/>
  <c r="E26" i="16"/>
  <c r="B26" i="16"/>
  <c r="B17" i="16"/>
  <c r="B13" i="16"/>
  <c r="B12" i="16"/>
  <c r="B16" i="16" s="1"/>
  <c r="B11" i="16"/>
  <c r="B15" i="16" s="1"/>
  <c r="B8" i="16"/>
  <c r="C26" i="16"/>
  <c r="C17" i="16"/>
  <c r="C13" i="16"/>
  <c r="C12" i="16"/>
  <c r="C16" i="16" s="1"/>
  <c r="C11" i="16"/>
  <c r="C15" i="16" s="1"/>
  <c r="C8" i="16"/>
  <c r="D26" i="16"/>
  <c r="G26" i="16"/>
  <c r="D17" i="16"/>
  <c r="D13" i="16"/>
  <c r="G13" i="16"/>
  <c r="D12" i="16"/>
  <c r="D16" i="16" s="1"/>
  <c r="D11" i="16"/>
  <c r="D15" i="16" s="1"/>
  <c r="G10" i="16"/>
  <c r="D8" i="16"/>
  <c r="G8" i="16"/>
  <c r="G7" i="16"/>
  <c r="G6" i="16"/>
  <c r="G5" i="16"/>
  <c r="G4" i="16"/>
  <c r="G17" i="16" s="1"/>
  <c r="G22" i="14"/>
  <c r="F17" i="12"/>
  <c r="D17" i="12"/>
  <c r="C17" i="12"/>
  <c r="B17" i="12"/>
  <c r="D17" i="13"/>
  <c r="C17" i="13"/>
  <c r="B17" i="13"/>
  <c r="G17" i="14"/>
  <c r="C17" i="14"/>
  <c r="D17" i="14"/>
  <c r="E17" i="14"/>
  <c r="B17" i="14"/>
  <c r="D26" i="12"/>
  <c r="C26" i="12"/>
  <c r="D26" i="13"/>
  <c r="C26" i="13"/>
  <c r="B26" i="13"/>
  <c r="C26" i="14"/>
  <c r="D26" i="14"/>
  <c r="E26" i="14"/>
  <c r="B26" i="14"/>
  <c r="C13" i="13"/>
  <c r="C12" i="13"/>
  <c r="C16" i="13" s="1"/>
  <c r="C11" i="13"/>
  <c r="C15" i="13" s="1"/>
  <c r="C8" i="13"/>
  <c r="G24" i="14"/>
  <c r="G25" i="14"/>
  <c r="G23" i="14"/>
  <c r="G26" i="14"/>
  <c r="G10" i="14"/>
  <c r="G5" i="14"/>
  <c r="G6" i="14"/>
  <c r="G7" i="14"/>
  <c r="G4" i="14"/>
  <c r="D13" i="14"/>
  <c r="D12" i="14"/>
  <c r="D16" i="14" s="1"/>
  <c r="D11" i="14"/>
  <c r="D15" i="14" s="1"/>
  <c r="D8" i="14"/>
  <c r="E13" i="14"/>
  <c r="E12" i="14"/>
  <c r="E16" i="14" s="1"/>
  <c r="E11" i="14"/>
  <c r="E15" i="14" s="1"/>
  <c r="E8" i="14"/>
  <c r="C13" i="14"/>
  <c r="B13" i="14"/>
  <c r="G13" i="14" s="1"/>
  <c r="C12" i="14"/>
  <c r="C16" i="14" s="1"/>
  <c r="B12" i="14"/>
  <c r="G12" i="14" s="1"/>
  <c r="C11" i="14"/>
  <c r="C15" i="14" s="1"/>
  <c r="B11" i="14"/>
  <c r="G11" i="14" s="1"/>
  <c r="C8" i="14"/>
  <c r="B8" i="14"/>
  <c r="G8" i="14" s="1"/>
  <c r="F10" i="13"/>
  <c r="D13" i="13"/>
  <c r="D12" i="13"/>
  <c r="D16" i="13" s="1"/>
  <c r="D11" i="13"/>
  <c r="D15" i="13" s="1"/>
  <c r="D8" i="13"/>
  <c r="F25" i="13"/>
  <c r="F24" i="13"/>
  <c r="F23" i="13"/>
  <c r="F22" i="13"/>
  <c r="F26" i="13" s="1"/>
  <c r="B13" i="13"/>
  <c r="F13" i="13" s="1"/>
  <c r="B12" i="13"/>
  <c r="B11" i="13"/>
  <c r="B8" i="13"/>
  <c r="F8" i="13" s="1"/>
  <c r="F7" i="13"/>
  <c r="F6" i="13"/>
  <c r="F5" i="13"/>
  <c r="F4" i="13"/>
  <c r="F4" i="12"/>
  <c r="C13" i="12"/>
  <c r="C12" i="12"/>
  <c r="C16" i="12" s="1"/>
  <c r="C11" i="12"/>
  <c r="C15" i="12" s="1"/>
  <c r="C8" i="12"/>
  <c r="F25" i="12"/>
  <c r="F22" i="12"/>
  <c r="F23" i="12"/>
  <c r="F24" i="12"/>
  <c r="F5" i="12"/>
  <c r="F7" i="12"/>
  <c r="F6" i="12"/>
  <c r="B13" i="12"/>
  <c r="B12" i="12"/>
  <c r="B16" i="12" s="1"/>
  <c r="B11" i="12"/>
  <c r="B15" i="12" s="1"/>
  <c r="B8" i="12"/>
  <c r="D8" i="12"/>
  <c r="F8" i="12"/>
  <c r="F10" i="12"/>
  <c r="D11" i="12"/>
  <c r="F11" i="12"/>
  <c r="D12" i="12"/>
  <c r="F12" i="12" s="1"/>
  <c r="D13" i="12"/>
  <c r="F13" i="12"/>
  <c r="D15" i="12"/>
  <c r="F15" i="12" s="1"/>
  <c r="B15" i="24" l="1"/>
  <c r="I15" i="24" s="1"/>
  <c r="I11" i="24"/>
  <c r="B16" i="24"/>
  <c r="I16" i="24" s="1"/>
  <c r="I12" i="24"/>
  <c r="C15" i="23"/>
  <c r="E15" i="23" s="1"/>
  <c r="E11" i="23"/>
  <c r="C16" i="23"/>
  <c r="E16" i="23" s="1"/>
  <c r="E12" i="23"/>
  <c r="B15" i="22"/>
  <c r="D11" i="22"/>
  <c r="B16" i="22"/>
  <c r="D12" i="22"/>
  <c r="D15" i="22"/>
  <c r="D16" i="22"/>
  <c r="F15" i="20"/>
  <c r="F11" i="20"/>
  <c r="F16" i="20"/>
  <c r="F12" i="20"/>
  <c r="B15" i="19"/>
  <c r="D15" i="19" s="1"/>
  <c r="D11" i="19"/>
  <c r="B16" i="19"/>
  <c r="D16" i="19" s="1"/>
  <c r="D12" i="19"/>
  <c r="B16" i="15"/>
  <c r="P16" i="15" s="1"/>
  <c r="P12" i="15"/>
  <c r="B17" i="15"/>
  <c r="P17" i="15" s="1"/>
  <c r="P13" i="15"/>
  <c r="B15" i="18"/>
  <c r="B16" i="18"/>
  <c r="E15" i="17"/>
  <c r="E11" i="17"/>
  <c r="E16" i="17"/>
  <c r="E12" i="17"/>
  <c r="G15" i="16"/>
  <c r="G11" i="16"/>
  <c r="G16" i="16"/>
  <c r="G12" i="16"/>
  <c r="F17" i="13"/>
  <c r="F26" i="12"/>
  <c r="B15" i="14"/>
  <c r="G15" i="14" s="1"/>
  <c r="B16" i="14"/>
  <c r="G16" i="14" s="1"/>
  <c r="B15" i="13"/>
  <c r="F15" i="13" s="1"/>
  <c r="F11" i="13"/>
  <c r="B16" i="13"/>
  <c r="F16" i="13" s="1"/>
  <c r="F12" i="13"/>
  <c r="D16" i="12"/>
  <c r="F16" i="12" s="1"/>
</calcChain>
</file>

<file path=xl/sharedStrings.xml><?xml version="1.0" encoding="utf-8"?>
<sst xmlns="http://schemas.openxmlformats.org/spreadsheetml/2006/main" count="735" uniqueCount="122">
  <si>
    <t>Birthday</t>
  </si>
  <si>
    <t>OCC</t>
  </si>
  <si>
    <t>Jan Birthday A</t>
  </si>
  <si>
    <t>Jan Birthday B</t>
  </si>
  <si>
    <t>Feb Birthday</t>
  </si>
  <si>
    <t>March Birthday</t>
  </si>
  <si>
    <t>April Birthday</t>
  </si>
  <si>
    <t>May Birthday</t>
  </si>
  <si>
    <t>June Birthday</t>
  </si>
  <si>
    <t>July Birthday</t>
  </si>
  <si>
    <t>August Birthday</t>
  </si>
  <si>
    <t>Sept Birthday</t>
  </si>
  <si>
    <t>Oct Birthday</t>
  </si>
  <si>
    <t>Nov Birthday</t>
  </si>
  <si>
    <t>Dec Birthday</t>
  </si>
  <si>
    <t>Totals</t>
  </si>
  <si>
    <t>Description</t>
  </si>
  <si>
    <t>$7 off $35+ wines or spirits 
700mL, 750mL, 1L, 1.5L or 1.75L sizes</t>
  </si>
  <si>
    <t>5% off wines or spirits 
700mL, 750mL, 1L, 1.5L or 1.75L sizes</t>
  </si>
  <si>
    <t>Dates Active</t>
  </si>
  <si>
    <t>1/1-1/31</t>
  </si>
  <si>
    <t>2/1-2/29</t>
  </si>
  <si>
    <t>3/1-3/31</t>
  </si>
  <si>
    <t>4/1-4/30</t>
  </si>
  <si>
    <t>5/1-5/31</t>
  </si>
  <si>
    <t>6/1-6/30</t>
  </si>
  <si>
    <t>7/1-7/31</t>
  </si>
  <si>
    <t>8/1-8/31</t>
  </si>
  <si>
    <t>9/1-9/30</t>
  </si>
  <si>
    <t>10/1-10/31</t>
  </si>
  <si>
    <t>11/1-11/30</t>
  </si>
  <si>
    <t>12/1-12/31</t>
  </si>
  <si>
    <t>Full Retail Value</t>
  </si>
  <si>
    <t>Markdown Discount (sale prices)</t>
  </si>
  <si>
    <t>Total Promotional Discount</t>
  </si>
  <si>
    <t>Promo Discount (This Promo)</t>
  </si>
  <si>
    <t>Gross Rev</t>
  </si>
  <si>
    <t># of orders</t>
  </si>
  <si>
    <t>Avg Full Retail Value</t>
  </si>
  <si>
    <t>Avg Retail Value w/ Sale Prices</t>
  </si>
  <si>
    <t>Av Retail Value w/ Sale Prices and Promotions</t>
  </si>
  <si>
    <t>Promotional Cost per Order
w/ Sale Prices and Promotions</t>
  </si>
  <si>
    <t>Promotional Cost per Order
w/ Promotions only</t>
  </si>
  <si>
    <t>AOV</t>
  </si>
  <si>
    <t>INSTORE</t>
  </si>
  <si>
    <t>Promo Sales (Trans Total)</t>
  </si>
  <si>
    <t>Gross Profit Margin</t>
  </si>
  <si>
    <t>Transactions</t>
  </si>
  <si>
    <t>Total Discount</t>
  </si>
  <si>
    <t>VBCs</t>
  </si>
  <si>
    <t>CavAgave VBC</t>
  </si>
  <si>
    <t>Fox Run VBC</t>
  </si>
  <si>
    <t>Glenronach + Jack Dan VBC</t>
  </si>
  <si>
    <t>Jack Dan + Old Forest VBC</t>
  </si>
  <si>
    <t>Engine Gin VBC</t>
  </si>
  <si>
    <t>Gin &amp; Juice VBC</t>
  </si>
  <si>
    <t>$5 off CavAgave Tequila 750mL
Pcodes: 448105, 448305, 448005, 448205</t>
  </si>
  <si>
    <t>$5 off Fox Run Semi-Dry Wine 750mL
Pcodes: 327455, 654155</t>
  </si>
  <si>
    <t>$20 off Glenronach Scotch or Jack Dan Sinatra 750mL
Pcodes: 354505, 479812, 353905.</t>
  </si>
  <si>
    <t>$10 off Jack Dan + Old Forester Whiskey 750mL
Pcodes: 453105, 453150, 453205, 453705, 453605, 655405, 655505, 689205, 689605, 690305.</t>
  </si>
  <si>
    <t>$5 off Engine Organic Gin 750mL
Pcode: 288105</t>
  </si>
  <si>
    <t>$4 off Gin &amp; Juice Variety 8pk 
Pcode: 343039</t>
  </si>
  <si>
    <t>2/21-2/25</t>
  </si>
  <si>
    <t>3/3-3/31</t>
  </si>
  <si>
    <t>6/2-7/6</t>
  </si>
  <si>
    <t>8/19-8/25</t>
  </si>
  <si>
    <t>9/12-9/19</t>
  </si>
  <si>
    <t>12/12-1/4</t>
  </si>
  <si>
    <t>Free Bottles</t>
  </si>
  <si>
    <t>Jan Free Bottle</t>
  </si>
  <si>
    <t>March Free Bottle</t>
  </si>
  <si>
    <t>April Free Bottle</t>
  </si>
  <si>
    <t>Summer Free Bottle</t>
  </si>
  <si>
    <t>Aug Free Bottle</t>
  </si>
  <si>
    <t>Nov Free Bottle</t>
  </si>
  <si>
    <t>Spend $50+, get a free wine or cocktail (All Access Members)
Pcodes: 791855, 680655, 226055, 124855, 124655 &amp; 124555</t>
  </si>
  <si>
    <t>Spend $50+, get a free wine (Gold Access Members)
Pcodes: 643755, 600355, 477055, 791655</t>
  </si>
  <si>
    <t>Spend $50+, get a free wine (Silver+Gold Access Members)
Pcodes: 418055, 657055, 844055 &amp; 382055</t>
  </si>
  <si>
    <t>Spend $50+, get a free wine or cocktail (All Access Members)
Pcodes: 731555, 600855, 600255, 643655, 884055, 124555, 124855, 124655</t>
  </si>
  <si>
    <t>Spend $50+, get a free wine or Spirit(Gold Key Members)
Pcodes: 226255, 600355, 854255, 928305. 445355 &amp; 565505</t>
  </si>
  <si>
    <t xml:space="preserve">Spend $50, get free wine. Silver &amp; Gold key members
Pcodes 600855, 941155, 399705, 643955. </t>
  </si>
  <si>
    <t>1/21-1/23</t>
  </si>
  <si>
    <t>3/10-3/12</t>
  </si>
  <si>
    <t>4/15-4/17</t>
  </si>
  <si>
    <t>6/2-6/4</t>
  </si>
  <si>
    <t>8/4-8/6</t>
  </si>
  <si>
    <t>11/5-11/7</t>
  </si>
  <si>
    <t>Cyber Monday Sale</t>
  </si>
  <si>
    <t>25% off S&amp;C wines or spirits 
700mL, 750mL, 1L, 1.5L or 1.75L sizes</t>
  </si>
  <si>
    <t>12/2-12/2</t>
  </si>
  <si>
    <t>Vero Print Ad</t>
  </si>
  <si>
    <t>Vero Loyatly Coupon</t>
  </si>
  <si>
    <t xml:space="preserve">$15 off $75 wine/spirits. 700mL, 750mL, 1L, 1.5L, 1.75L sizes and sets only. </t>
  </si>
  <si>
    <t>$10 off $50 wine/spirits 700ml, 750mln 1L, 1.5L, 1.75L sizes and sets only.</t>
  </si>
  <si>
    <t>$10 off $80+ wines or spirits 700mL,
750mL, 1L, 1.5L or 1.75L sizes</t>
  </si>
  <si>
    <t>11/13-12/26 2024</t>
  </si>
  <si>
    <t>11/15-12/31 2024</t>
  </si>
  <si>
    <t>12/26-12/29/2024</t>
  </si>
  <si>
    <t>Waterset WIne Tasting</t>
  </si>
  <si>
    <t>Barman VBC</t>
  </si>
  <si>
    <t>Pinhook VBC</t>
  </si>
  <si>
    <t>Whistlepig VBC</t>
  </si>
  <si>
    <t>$15 off $75+ S&amp;C wines or spirits 
700mL, 750mL, 1L, 1.5L or 1.75L sizes</t>
  </si>
  <si>
    <t>$10 Off Barman Whiskey 750mL
Pcode: 466005</t>
  </si>
  <si>
    <t>$10 off Pinhook Bourbon 750mL
Pcode: 745005</t>
  </si>
  <si>
    <t>$6 off Whisltepig Whiskey 750mL
Pcode: 909005, 910505</t>
  </si>
  <si>
    <t>8/31-9/7</t>
  </si>
  <si>
    <t>9/18-9/25</t>
  </si>
  <si>
    <t>Jeep Week Coupon</t>
  </si>
  <si>
    <t>10% off  Wine&amp; Spirits 700mL, 750mL, 1L, 1.5L or 1.75L sizes</t>
  </si>
  <si>
    <t>5/10-5/31</t>
  </si>
  <si>
    <t>Sandestin Wine Festival</t>
  </si>
  <si>
    <t>$10 off $50+ wines
720mL, 750mL, 1L, 1.5L sizes</t>
  </si>
  <si>
    <t>3/29-4/30</t>
  </si>
  <si>
    <t>April 10% off S&amp;C Wine</t>
  </si>
  <si>
    <t>10% off S&amp;C Wine 720mL, 750mL, 1L, 1.5L sizes</t>
  </si>
  <si>
    <t>4/3-4/9</t>
  </si>
  <si>
    <t>Prosecco</t>
  </si>
  <si>
    <t xml:space="preserve">10% off Prosecco Wine 750mL only
</t>
  </si>
  <si>
    <t>15% off Featured Wines</t>
  </si>
  <si>
    <t>15% off Featured Wine only
Pcodes: 414155, 843055, 552805, 569505 and 625855</t>
  </si>
  <si>
    <t>1/6-3/2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</si>
</sst>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[$$-409]* #,##0.00_);_([$$-409]* \(#,##0.00\);_([$$-409]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3EA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  <xf numFmtId="8" fontId="0" fillId="2" borderId="5" xfId="0" applyNumberFormat="1" applyFill="1" applyBorder="1"/>
    <xf numFmtId="8" fontId="0" fillId="0" borderId="0" xfId="0" applyNumberFormat="1"/>
    <xf numFmtId="0" fontId="0" fillId="2" borderId="1" xfId="0" applyFill="1" applyBorder="1"/>
    <xf numFmtId="8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10" fontId="0" fillId="0" borderId="0" xfId="1" applyNumberFormat="1" applyFont="1"/>
    <xf numFmtId="0" fontId="1" fillId="0" borderId="0" xfId="0" applyFont="1"/>
    <xf numFmtId="1" fontId="0" fillId="2" borderId="1" xfId="0" applyNumberFormat="1" applyFill="1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  <xf numFmtId="10" fontId="0" fillId="4" borderId="5" xfId="1" applyNumberFormat="1" applyFont="1" applyFill="1" applyBorder="1"/>
    <xf numFmtId="10" fontId="0" fillId="4" borderId="1" xfId="1" applyNumberFormat="1" applyFont="1" applyFill="1" applyBorder="1" applyAlignment="1">
      <alignment horizontal="right"/>
    </xf>
    <xf numFmtId="0" fontId="0" fillId="4" borderId="5" xfId="0" applyFill="1" applyBorder="1"/>
    <xf numFmtId="165" fontId="0" fillId="4" borderId="1" xfId="2" applyNumberFormat="1" applyFont="1" applyFill="1" applyBorder="1" applyAlignment="1">
      <alignment horizontal="right"/>
    </xf>
    <xf numFmtId="16" fontId="0" fillId="2" borderId="3" xfId="0" applyNumberForma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1" fontId="0" fillId="0" borderId="0" xfId="0" applyNumberFormat="1"/>
    <xf numFmtId="0" fontId="0" fillId="4" borderId="6" xfId="0" applyFill="1" applyBorder="1"/>
    <xf numFmtId="164" fontId="0" fillId="0" borderId="0" xfId="2" applyNumberFormat="1" applyFont="1" applyAlignment="1">
      <alignment horizontal="right"/>
    </xf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6" fontId="0" fillId="0" borderId="0" xfId="0" applyNumberFormat="1"/>
    <xf numFmtId="166" fontId="0" fillId="4" borderId="6" xfId="0" applyNumberFormat="1" applyFill="1" applyBorder="1"/>
    <xf numFmtId="0" fontId="0" fillId="4" borderId="7" xfId="0" applyFill="1" applyBorder="1"/>
    <xf numFmtId="164" fontId="0" fillId="4" borderId="8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0" fontId="0" fillId="2" borderId="6" xfId="0" applyFill="1" applyBorder="1" applyAlignment="1">
      <alignment wrapText="1"/>
    </xf>
    <xf numFmtId="8" fontId="0" fillId="2" borderId="6" xfId="0" applyNumberFormat="1" applyFill="1" applyBorder="1"/>
    <xf numFmtId="0" fontId="0" fillId="2" borderId="2" xfId="0" applyFill="1" applyBorder="1" applyAlignment="1">
      <alignment wrapText="1"/>
    </xf>
    <xf numFmtId="8" fontId="0" fillId="2" borderId="2" xfId="0" applyNumberForma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/>
    </xf>
    <xf numFmtId="0" fontId="1" fillId="5" borderId="0" xfId="0" applyFont="1" applyFill="1"/>
    <xf numFmtId="164" fontId="0" fillId="4" borderId="6" xfId="0" applyNumberFormat="1" applyFill="1" applyBorder="1" applyAlignment="1">
      <alignment horizontal="right"/>
    </xf>
    <xf numFmtId="165" fontId="0" fillId="4" borderId="2" xfId="2" applyNumberFormat="1" applyFont="1" applyFill="1" applyBorder="1" applyAlignment="1">
      <alignment horizontal="right"/>
    </xf>
    <xf numFmtId="166" fontId="0" fillId="4" borderId="9" xfId="0" applyNumberFormat="1" applyFill="1" applyBorder="1"/>
    <xf numFmtId="165" fontId="0" fillId="4" borderId="10" xfId="2" applyNumberFormat="1" applyFont="1" applyFill="1" applyBorder="1" applyAlignment="1">
      <alignment horizontal="right"/>
    </xf>
    <xf numFmtId="164" fontId="0" fillId="4" borderId="11" xfId="0" applyNumberFormat="1" applyFill="1" applyBorder="1" applyAlignment="1">
      <alignment horizontal="right"/>
    </xf>
    <xf numFmtId="166" fontId="0" fillId="4" borderId="12" xfId="0" applyNumberFormat="1" applyFill="1" applyBorder="1"/>
    <xf numFmtId="0" fontId="1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16" fontId="0" fillId="6" borderId="3" xfId="0" applyNumberForma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0" fillId="6" borderId="5" xfId="0" applyFill="1" applyBorder="1"/>
    <xf numFmtId="8" fontId="0" fillId="6" borderId="5" xfId="0" applyNumberFormat="1" applyFill="1" applyBorder="1"/>
    <xf numFmtId="0" fontId="0" fillId="6" borderId="1" xfId="0" applyFill="1" applyBorder="1"/>
    <xf numFmtId="8" fontId="0" fillId="6" borderId="1" xfId="0" applyNumberFormat="1" applyFill="1" applyBorder="1"/>
    <xf numFmtId="1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wrapText="1"/>
    </xf>
    <xf numFmtId="8" fontId="0" fillId="6" borderId="2" xfId="0" applyNumberFormat="1" applyFill="1" applyBorder="1"/>
    <xf numFmtId="0" fontId="0" fillId="6" borderId="6" xfId="0" applyFill="1" applyBorder="1" applyAlignment="1">
      <alignment wrapText="1"/>
    </xf>
    <xf numFmtId="8" fontId="0" fillId="6" borderId="6" xfId="0" applyNumberFormat="1" applyFill="1" applyBorder="1"/>
    <xf numFmtId="165" fontId="0" fillId="0" borderId="0" xfId="0" applyNumberFormat="1"/>
    <xf numFmtId="0" fontId="4" fillId="4" borderId="13" xfId="0" applyFont="1" applyFill="1" applyBorder="1" applyAlignment="1"/>
    <xf numFmtId="8" fontId="4" fillId="4" borderId="1" xfId="0" applyNumberFormat="1" applyFont="1" applyFill="1" applyBorder="1" applyAlignment="1"/>
    <xf numFmtId="10" fontId="4" fillId="4" borderId="5" xfId="0" applyNumberFormat="1" applyFont="1" applyFill="1" applyBorder="1" applyAlignment="1"/>
    <xf numFmtId="3" fontId="4" fillId="4" borderId="5" xfId="0" applyNumberFormat="1" applyFont="1" applyFill="1" applyBorder="1" applyAlignment="1"/>
    <xf numFmtId="8" fontId="4" fillId="4" borderId="5" xfId="0" applyNumberFormat="1" applyFont="1" applyFill="1" applyBorder="1" applyAlignment="1"/>
    <xf numFmtId="8" fontId="4" fillId="4" borderId="9" xfId="0" applyNumberFormat="1" applyFont="1" applyFill="1" applyBorder="1" applyAlignment="1"/>
    <xf numFmtId="0" fontId="4" fillId="4" borderId="16" xfId="0" applyFont="1" applyFill="1" applyBorder="1" applyAlignment="1"/>
    <xf numFmtId="8" fontId="4" fillId="4" borderId="14" xfId="0" applyNumberFormat="1" applyFont="1" applyFill="1" applyBorder="1" applyAlignment="1"/>
    <xf numFmtId="10" fontId="4" fillId="4" borderId="15" xfId="0" applyNumberFormat="1" applyFont="1" applyFill="1" applyBorder="1" applyAlignment="1"/>
    <xf numFmtId="0" fontId="4" fillId="4" borderId="5" xfId="0" applyFont="1" applyFill="1" applyBorder="1" applyAlignment="1"/>
    <xf numFmtId="0" fontId="4" fillId="4" borderId="15" xfId="0" applyFont="1" applyFill="1" applyBorder="1" applyAlignment="1"/>
    <xf numFmtId="8" fontId="4" fillId="4" borderId="15" xfId="0" applyNumberFormat="1" applyFont="1" applyFill="1" applyBorder="1" applyAlignment="1"/>
    <xf numFmtId="8" fontId="4" fillId="4" borderId="17" xfId="0" applyNumberFormat="1" applyFont="1" applyFill="1" applyBorder="1" applyAlignment="1"/>
    <xf numFmtId="0" fontId="5" fillId="4" borderId="1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" fontId="3" fillId="4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F283-6CAD-4160-95C1-C90B68ABE8F1}">
  <dimension ref="A1:P83"/>
  <sheetViews>
    <sheetView workbookViewId="0">
      <pane xSplit="1" topLeftCell="B49" activePane="topRight" state="frozen"/>
      <selection pane="topRight" activeCell="G55" sqref="G55"/>
    </sheetView>
  </sheetViews>
  <sheetFormatPr defaultRowHeight="15"/>
  <cols>
    <col min="1" max="1" width="32.42578125" customWidth="1"/>
    <col min="2" max="3" width="20.7109375" customWidth="1"/>
    <col min="4" max="4" width="23.42578125" customWidth="1"/>
    <col min="5" max="5" width="22.28515625" customWidth="1"/>
    <col min="6" max="6" width="20.7109375" customWidth="1"/>
    <col min="7" max="13" width="19.85546875" customWidth="1"/>
    <col min="14" max="14" width="18.140625" customWidth="1"/>
    <col min="16" max="16" width="18.85546875" customWidth="1"/>
  </cols>
  <sheetData>
    <row r="1" spans="1:16">
      <c r="A1" s="51" t="s">
        <v>0</v>
      </c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P2" s="2" t="s">
        <v>15</v>
      </c>
    </row>
    <row r="3" spans="1:16" ht="60.75">
      <c r="A3" s="3" t="s">
        <v>16</v>
      </c>
      <c r="B3" s="17" t="s">
        <v>17</v>
      </c>
      <c r="C3" s="17" t="s">
        <v>18</v>
      </c>
      <c r="D3" s="17" t="s">
        <v>17</v>
      </c>
      <c r="E3" s="17" t="s">
        <v>17</v>
      </c>
      <c r="F3" s="17" t="s">
        <v>17</v>
      </c>
      <c r="G3" s="17" t="s">
        <v>17</v>
      </c>
      <c r="H3" s="17" t="s">
        <v>17</v>
      </c>
      <c r="I3" s="17" t="s">
        <v>17</v>
      </c>
      <c r="J3" s="17" t="s">
        <v>17</v>
      </c>
      <c r="K3" s="17" t="s">
        <v>17</v>
      </c>
      <c r="L3" s="17" t="s">
        <v>17</v>
      </c>
      <c r="M3" s="17" t="s">
        <v>17</v>
      </c>
      <c r="N3" s="17" t="s">
        <v>17</v>
      </c>
      <c r="P3" s="5"/>
    </row>
    <row r="4" spans="1:16">
      <c r="A4" s="6" t="s">
        <v>19</v>
      </c>
      <c r="B4" s="32" t="s">
        <v>20</v>
      </c>
      <c r="C4" s="32" t="s">
        <v>20</v>
      </c>
      <c r="D4" s="32" t="s">
        <v>21</v>
      </c>
      <c r="E4" s="32" t="s">
        <v>22</v>
      </c>
      <c r="F4" s="32" t="s">
        <v>23</v>
      </c>
      <c r="G4" s="32" t="s">
        <v>24</v>
      </c>
      <c r="H4" s="32" t="s">
        <v>25</v>
      </c>
      <c r="I4" s="32" t="s">
        <v>26</v>
      </c>
      <c r="J4" s="32" t="s">
        <v>27</v>
      </c>
      <c r="K4" s="32" t="s">
        <v>28</v>
      </c>
      <c r="L4" s="32" t="s">
        <v>29</v>
      </c>
      <c r="M4" s="32" t="s">
        <v>30</v>
      </c>
      <c r="N4" s="32" t="s">
        <v>31</v>
      </c>
      <c r="P4" s="4"/>
    </row>
    <row r="5" spans="1:16">
      <c r="A5" s="8" t="s">
        <v>32</v>
      </c>
      <c r="B5" s="9">
        <v>5004.67</v>
      </c>
      <c r="C5" s="9">
        <v>6478.47</v>
      </c>
      <c r="D5" s="9">
        <v>9486.9500000000007</v>
      </c>
      <c r="E5" s="9">
        <v>12605.29</v>
      </c>
      <c r="F5" s="9">
        <v>10503.26</v>
      </c>
      <c r="G5" s="9">
        <v>7179.91</v>
      </c>
      <c r="H5" s="9">
        <v>7974.11</v>
      </c>
      <c r="I5" s="9">
        <v>9743.06</v>
      </c>
      <c r="J5" s="9">
        <v>8191.03</v>
      </c>
      <c r="K5" s="9">
        <v>10128.76</v>
      </c>
      <c r="L5" s="9">
        <v>3090.37</v>
      </c>
      <c r="M5" s="9">
        <v>8074</v>
      </c>
      <c r="N5" s="64">
        <v>12885.73</v>
      </c>
      <c r="P5" s="10">
        <f>SUM(B5:N5)</f>
        <v>111345.60999999999</v>
      </c>
    </row>
    <row r="6" spans="1:16">
      <c r="A6" s="11" t="s">
        <v>33</v>
      </c>
      <c r="B6" s="12">
        <v>274</v>
      </c>
      <c r="C6" s="12">
        <v>367.87</v>
      </c>
      <c r="D6" s="12">
        <v>670.29</v>
      </c>
      <c r="E6" s="12">
        <v>655</v>
      </c>
      <c r="F6" s="12">
        <v>604.48</v>
      </c>
      <c r="G6" s="12">
        <v>508</v>
      </c>
      <c r="H6" s="12">
        <v>492.2</v>
      </c>
      <c r="I6" s="12">
        <v>578.14</v>
      </c>
      <c r="J6" s="12">
        <v>531.46</v>
      </c>
      <c r="K6" s="12">
        <v>382.3</v>
      </c>
      <c r="L6" s="12">
        <v>0</v>
      </c>
      <c r="M6" s="12">
        <v>0</v>
      </c>
      <c r="N6" s="66"/>
      <c r="P6" s="10">
        <f>SUM(B6:N6)</f>
        <v>5063.74</v>
      </c>
    </row>
    <row r="7" spans="1:16">
      <c r="A7" s="11" t="s">
        <v>34</v>
      </c>
      <c r="B7" s="12">
        <v>761.48</v>
      </c>
      <c r="C7" s="12">
        <v>993.99</v>
      </c>
      <c r="D7" s="12">
        <v>1487.05</v>
      </c>
      <c r="E7" s="12">
        <v>1540.72</v>
      </c>
      <c r="F7" s="12">
        <v>1784.84</v>
      </c>
      <c r="G7" s="12">
        <v>1178.97</v>
      </c>
      <c r="H7" s="12">
        <v>1448.78</v>
      </c>
      <c r="I7" s="12">
        <v>1491.9</v>
      </c>
      <c r="J7" s="12">
        <v>1350.48</v>
      </c>
      <c r="K7" s="12">
        <v>1560.86</v>
      </c>
      <c r="L7" s="12">
        <v>0</v>
      </c>
      <c r="M7" s="12">
        <v>0</v>
      </c>
      <c r="N7" s="66">
        <v>0</v>
      </c>
      <c r="P7" s="10">
        <f>SUM(B7:N7)</f>
        <v>13599.07</v>
      </c>
    </row>
    <row r="8" spans="1:16">
      <c r="A8" s="11" t="s">
        <v>35</v>
      </c>
      <c r="B8" s="12">
        <v>371</v>
      </c>
      <c r="C8" s="12">
        <v>284.04000000000002</v>
      </c>
      <c r="D8" s="12">
        <v>700</v>
      </c>
      <c r="E8" s="12">
        <v>728</v>
      </c>
      <c r="F8" s="12">
        <v>672</v>
      </c>
      <c r="G8" s="12">
        <v>511</v>
      </c>
      <c r="H8" s="12">
        <v>665</v>
      </c>
      <c r="I8" s="12">
        <v>742</v>
      </c>
      <c r="J8" s="12">
        <v>588</v>
      </c>
      <c r="K8" s="12">
        <v>812</v>
      </c>
      <c r="L8" s="12">
        <v>0</v>
      </c>
      <c r="M8" s="12">
        <v>0</v>
      </c>
      <c r="N8" s="66"/>
      <c r="P8" s="10">
        <f>SUM(B8:N8)</f>
        <v>6073.04</v>
      </c>
    </row>
    <row r="9" spans="1:16">
      <c r="A9" s="11" t="s">
        <v>36</v>
      </c>
      <c r="B9" s="12">
        <f>B5-B6-B7</f>
        <v>3969.19</v>
      </c>
      <c r="C9" s="12">
        <f>C5-C6-C7</f>
        <v>5116.6100000000006</v>
      </c>
      <c r="D9" s="12">
        <f>D5-D6-D7</f>
        <v>7329.61</v>
      </c>
      <c r="E9" s="12">
        <f>E5-E6-E7</f>
        <v>10409.570000000002</v>
      </c>
      <c r="F9" s="12">
        <f>F5-F6-F7</f>
        <v>8113.9400000000005</v>
      </c>
      <c r="G9" s="12">
        <f>G5-G6-G7</f>
        <v>5492.94</v>
      </c>
      <c r="H9" s="12">
        <f>H5-H6-H7</f>
        <v>6033.13</v>
      </c>
      <c r="I9" s="12">
        <f>I5-I6-I7</f>
        <v>7673.02</v>
      </c>
      <c r="J9" s="12">
        <f>J5-J6-J7</f>
        <v>6309.09</v>
      </c>
      <c r="K9" s="12">
        <f>K5-K6-K7</f>
        <v>8185.6000000000013</v>
      </c>
      <c r="L9" s="12">
        <f>L5-L6-L7</f>
        <v>3090.37</v>
      </c>
      <c r="M9" s="12">
        <f>M5-M6-M7</f>
        <v>8074</v>
      </c>
      <c r="N9" s="66">
        <f>N5-N6-N7</f>
        <v>12885.73</v>
      </c>
      <c r="P9" s="10">
        <f>SUM(E9:N9)</f>
        <v>76267.39</v>
      </c>
    </row>
    <row r="10" spans="1:16" ht="4.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P10" s="14"/>
    </row>
    <row r="11" spans="1:16">
      <c r="A11" s="11" t="s">
        <v>37</v>
      </c>
      <c r="B11" s="20">
        <v>53</v>
      </c>
      <c r="C11" s="20">
        <v>40</v>
      </c>
      <c r="D11" s="20">
        <v>100</v>
      </c>
      <c r="E11" s="20">
        <v>104</v>
      </c>
      <c r="F11" s="20">
        <v>96</v>
      </c>
      <c r="G11" s="20">
        <v>73</v>
      </c>
      <c r="H11" s="20">
        <v>95</v>
      </c>
      <c r="I11" s="20">
        <v>106</v>
      </c>
      <c r="J11" s="20">
        <v>84</v>
      </c>
      <c r="K11" s="20">
        <v>116</v>
      </c>
      <c r="L11" s="20">
        <v>33</v>
      </c>
      <c r="M11" s="20">
        <v>81</v>
      </c>
      <c r="N11" s="67">
        <v>122</v>
      </c>
      <c r="P11" s="73">
        <f>SUM(B11:N11)</f>
        <v>1103</v>
      </c>
    </row>
    <row r="12" spans="1:16">
      <c r="A12" s="11" t="s">
        <v>38</v>
      </c>
      <c r="B12" s="12">
        <f>B5/B11</f>
        <v>94.427735849056603</v>
      </c>
      <c r="C12" s="12">
        <f>C5/C11</f>
        <v>161.96174999999999</v>
      </c>
      <c r="D12" s="12">
        <f>D5/D11</f>
        <v>94.869500000000002</v>
      </c>
      <c r="E12" s="12">
        <f>E5/E11</f>
        <v>121.20471153846155</v>
      </c>
      <c r="F12" s="12">
        <f>F5/F11</f>
        <v>109.40895833333333</v>
      </c>
      <c r="G12" s="12">
        <f>G5/G11</f>
        <v>98.354931506849312</v>
      </c>
      <c r="H12" s="12">
        <f>H5/H11</f>
        <v>83.938000000000002</v>
      </c>
      <c r="I12" s="12">
        <f>I5/I11</f>
        <v>91.915660377358492</v>
      </c>
      <c r="J12" s="12">
        <f>J5/J11</f>
        <v>97.5122619047619</v>
      </c>
      <c r="K12" s="12">
        <f>K5/K11</f>
        <v>87.316896551724142</v>
      </c>
      <c r="L12" s="12">
        <f>L5/L11</f>
        <v>93.647575757575751</v>
      </c>
      <c r="M12" s="12">
        <f>M5/M11</f>
        <v>99.679012345679013</v>
      </c>
      <c r="N12" s="66">
        <f>N5/N11</f>
        <v>105.62073770491803</v>
      </c>
      <c r="P12" s="10">
        <f>AVERAGE(B12:N12)</f>
        <v>103.0659793745937</v>
      </c>
    </row>
    <row r="13" spans="1:16">
      <c r="A13" s="11" t="s">
        <v>39</v>
      </c>
      <c r="B13" s="12">
        <f>(B5-B6)/B11</f>
        <v>89.257924528301885</v>
      </c>
      <c r="C13" s="12">
        <f>(C5-C6)/C11</f>
        <v>152.76500000000001</v>
      </c>
      <c r="D13" s="12">
        <f>(D5-D6)/D11</f>
        <v>88.166600000000003</v>
      </c>
      <c r="E13" s="12">
        <f>(E5-E6)/E11</f>
        <v>114.90663461538462</v>
      </c>
      <c r="F13" s="12">
        <f>(F5-F6)/F11</f>
        <v>103.11229166666668</v>
      </c>
      <c r="G13" s="12">
        <f>(G5-G6)/G11</f>
        <v>91.396027397260269</v>
      </c>
      <c r="H13" s="12">
        <f>(H5-H6)/H11</f>
        <v>78.756947368421052</v>
      </c>
      <c r="I13" s="12">
        <f>(I5-I6)/I11</f>
        <v>86.461509433962263</v>
      </c>
      <c r="J13" s="12">
        <f>(J5-J6)/J11</f>
        <v>91.185357142857143</v>
      </c>
      <c r="K13" s="12">
        <f>(K5-K6)/K11</f>
        <v>84.021206896551732</v>
      </c>
      <c r="L13" s="12">
        <f>(L5-L6)/L11</f>
        <v>93.647575757575751</v>
      </c>
      <c r="M13" s="12">
        <f>(M5-M6)/M11</f>
        <v>99.679012345679013</v>
      </c>
      <c r="N13" s="66">
        <f>(N5-N6)/N11</f>
        <v>105.62073770491803</v>
      </c>
      <c r="P13" s="10">
        <f>AVERAGE(B13:N13)</f>
        <v>98.382832681352184</v>
      </c>
    </row>
    <row r="14" spans="1:16" ht="31.5" customHeight="1">
      <c r="A14" s="15" t="s">
        <v>40</v>
      </c>
      <c r="B14" s="12">
        <f>(B5-B6-B7)/B11</f>
        <v>74.890377358490568</v>
      </c>
      <c r="C14" s="12">
        <f>(C5-C6-C7)/C11</f>
        <v>127.91525000000001</v>
      </c>
      <c r="D14" s="12">
        <f>(D5-D6-D7)/D11</f>
        <v>73.296099999999996</v>
      </c>
      <c r="E14" s="12">
        <f>(E5-E6-E7)/E11</f>
        <v>100.09201923076924</v>
      </c>
      <c r="F14" s="12">
        <f>(F5-F6-F7)/F11</f>
        <v>84.520208333333343</v>
      </c>
      <c r="G14" s="12">
        <f>(G5-G6-G7)/G11</f>
        <v>75.245753424657522</v>
      </c>
      <c r="H14" s="12">
        <f>(H5-H6-H7)/H11</f>
        <v>63.506631578947371</v>
      </c>
      <c r="I14" s="12">
        <f>(I5-I6-I7)/I11</f>
        <v>72.386981132075476</v>
      </c>
      <c r="J14" s="12">
        <f>(J5-J6-J7)/J11</f>
        <v>75.108214285714283</v>
      </c>
      <c r="K14" s="12">
        <f>(K5-K6-K7)/K11</f>
        <v>70.565517241379325</v>
      </c>
      <c r="L14" s="12">
        <f>(L5-L6-L7)/L11</f>
        <v>93.647575757575751</v>
      </c>
      <c r="M14" s="12">
        <f>(M5-M6-M7)/M11</f>
        <v>99.679012345679013</v>
      </c>
      <c r="N14" s="66">
        <f>(N5-N6-N7)/N11</f>
        <v>105.62073770491803</v>
      </c>
      <c r="P14" s="10">
        <f>AVERAGE(B14:N14)</f>
        <v>85.882644491810751</v>
      </c>
    </row>
    <row r="15" spans="1:16" ht="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P15" s="14"/>
    </row>
    <row r="16" spans="1:16" ht="30" customHeight="1">
      <c r="A16" s="15" t="s">
        <v>41</v>
      </c>
      <c r="B16" s="12">
        <f>B12-B14</f>
        <v>19.537358490566035</v>
      </c>
      <c r="C16" s="12">
        <f>C12-C14</f>
        <v>34.04649999999998</v>
      </c>
      <c r="D16" s="12">
        <f>D12-D14</f>
        <v>21.573400000000007</v>
      </c>
      <c r="E16" s="12">
        <f>E12-E14</f>
        <v>21.112692307692313</v>
      </c>
      <c r="F16" s="12">
        <f>F12-F14</f>
        <v>24.888749999999987</v>
      </c>
      <c r="G16" s="12">
        <f>G12-G14</f>
        <v>23.109178082191789</v>
      </c>
      <c r="H16" s="12">
        <f>H12-H14</f>
        <v>20.431368421052632</v>
      </c>
      <c r="I16" s="12">
        <f>I12-I14</f>
        <v>19.528679245283016</v>
      </c>
      <c r="J16" s="12">
        <f>J12-J14</f>
        <v>22.404047619047617</v>
      </c>
      <c r="K16" s="12">
        <f>K12-K14</f>
        <v>16.751379310344817</v>
      </c>
      <c r="L16" s="12">
        <f>L12-L14</f>
        <v>0</v>
      </c>
      <c r="M16" s="12">
        <f>M12-M14</f>
        <v>0</v>
      </c>
      <c r="N16" s="66">
        <f>N12-N14</f>
        <v>0</v>
      </c>
      <c r="P16" s="10">
        <f>SUM(B16:N16)</f>
        <v>223.38335347617817</v>
      </c>
    </row>
    <row r="17" spans="1:16" ht="30" customHeight="1">
      <c r="A17" s="15" t="s">
        <v>42</v>
      </c>
      <c r="B17" s="12">
        <f>B13-B14</f>
        <v>14.367547169811317</v>
      </c>
      <c r="C17" s="12">
        <f>C13-C14</f>
        <v>24.84975</v>
      </c>
      <c r="D17" s="12">
        <f>D13-D14</f>
        <v>14.870500000000007</v>
      </c>
      <c r="E17" s="47">
        <f>E13-E14</f>
        <v>14.814615384615379</v>
      </c>
      <c r="F17" s="47">
        <f>F13-F14</f>
        <v>18.592083333333335</v>
      </c>
      <c r="G17" s="47">
        <f>G13-G14</f>
        <v>16.150273972602747</v>
      </c>
      <c r="H17" s="47">
        <f>H13-H14</f>
        <v>15.250315789473682</v>
      </c>
      <c r="I17" s="47">
        <f>I13-I14</f>
        <v>14.074528301886787</v>
      </c>
      <c r="J17" s="47">
        <f>J13-J14</f>
        <v>16.07714285714286</v>
      </c>
      <c r="K17" s="47">
        <f>K13-K14</f>
        <v>13.455689655172407</v>
      </c>
      <c r="L17" s="47">
        <f>L13-L14</f>
        <v>0</v>
      </c>
      <c r="M17" s="47">
        <f>M13-M14</f>
        <v>0</v>
      </c>
      <c r="N17" s="70">
        <f>N13-N14</f>
        <v>0</v>
      </c>
      <c r="P17" s="10">
        <f>SUM(B17:N17)</f>
        <v>162.50244646403854</v>
      </c>
    </row>
    <row r="18" spans="1:16">
      <c r="A18" s="44" t="s">
        <v>43</v>
      </c>
      <c r="B18" s="45">
        <f>B5/B11</f>
        <v>94.427735849056603</v>
      </c>
      <c r="C18" s="45">
        <f t="shared" ref="C18" si="0">C5/C11</f>
        <v>161.96174999999999</v>
      </c>
      <c r="D18" s="45">
        <f>D5/D11</f>
        <v>94.869500000000002</v>
      </c>
      <c r="E18" s="45">
        <f>E5/E11</f>
        <v>121.20471153846155</v>
      </c>
      <c r="F18" s="45">
        <f>F5/F11</f>
        <v>109.40895833333333</v>
      </c>
      <c r="G18" s="45">
        <f>G5/G11</f>
        <v>98.354931506849312</v>
      </c>
      <c r="H18" s="45">
        <f>H5/H11</f>
        <v>83.938000000000002</v>
      </c>
      <c r="I18" s="45">
        <f>I5/I11</f>
        <v>91.915660377358492</v>
      </c>
      <c r="J18" s="45">
        <f>J5/J11</f>
        <v>97.5122619047619</v>
      </c>
      <c r="K18" s="45">
        <f>K5/K11</f>
        <v>87.316896551724142</v>
      </c>
      <c r="L18" s="45">
        <f>L5/L11</f>
        <v>93.647575757575751</v>
      </c>
      <c r="M18" s="45">
        <f>M5/M11</f>
        <v>99.679012345679013</v>
      </c>
      <c r="N18" s="72">
        <f>N5/N11</f>
        <v>105.62073770491803</v>
      </c>
      <c r="P18" s="10">
        <f>P5/P11</f>
        <v>100.94796917497732</v>
      </c>
    </row>
    <row r="19" spans="1:16">
      <c r="P19" s="10"/>
    </row>
    <row r="20" spans="1:16">
      <c r="A20" s="22" t="s">
        <v>44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  <c r="J20" s="22" t="s">
        <v>10</v>
      </c>
      <c r="K20" s="22" t="s">
        <v>11</v>
      </c>
      <c r="L20" s="22" t="s">
        <v>12</v>
      </c>
      <c r="M20" s="22" t="s">
        <v>13</v>
      </c>
      <c r="N20" s="22" t="s">
        <v>14</v>
      </c>
      <c r="P20" s="2"/>
    </row>
    <row r="21" spans="1:16" ht="78.75" customHeight="1">
      <c r="A21" s="23" t="s">
        <v>16</v>
      </c>
      <c r="B21" s="24" t="s">
        <v>17</v>
      </c>
      <c r="C21" s="24" t="s">
        <v>18</v>
      </c>
      <c r="D21" s="24" t="s">
        <v>17</v>
      </c>
      <c r="E21" s="24" t="s">
        <v>17</v>
      </c>
      <c r="F21" s="24" t="s">
        <v>17</v>
      </c>
      <c r="G21" s="24" t="s">
        <v>17</v>
      </c>
      <c r="H21" s="24" t="s">
        <v>17</v>
      </c>
      <c r="I21" s="24" t="s">
        <v>17</v>
      </c>
      <c r="J21" s="24" t="s">
        <v>17</v>
      </c>
      <c r="K21" s="24" t="s">
        <v>17</v>
      </c>
      <c r="L21" s="24" t="s">
        <v>17</v>
      </c>
      <c r="M21" s="24" t="s">
        <v>17</v>
      </c>
      <c r="N21" s="24" t="s">
        <v>17</v>
      </c>
      <c r="P21" s="5"/>
    </row>
    <row r="22" spans="1:16">
      <c r="A22" s="25" t="s">
        <v>19</v>
      </c>
      <c r="B22" s="33" t="s">
        <v>20</v>
      </c>
      <c r="C22" s="33" t="s">
        <v>20</v>
      </c>
      <c r="D22" s="33" t="s">
        <v>21</v>
      </c>
      <c r="E22" s="33" t="s">
        <v>22</v>
      </c>
      <c r="F22" s="33" t="s">
        <v>23</v>
      </c>
      <c r="G22" s="33" t="s">
        <v>24</v>
      </c>
      <c r="H22" s="33" t="s">
        <v>25</v>
      </c>
      <c r="I22" s="33" t="s">
        <v>26</v>
      </c>
      <c r="J22" s="33" t="s">
        <v>27</v>
      </c>
      <c r="K22" s="33" t="s">
        <v>28</v>
      </c>
      <c r="L22" s="33" t="s">
        <v>29</v>
      </c>
      <c r="M22" s="33" t="s">
        <v>30</v>
      </c>
      <c r="N22" s="33" t="s">
        <v>31</v>
      </c>
      <c r="P22" s="7"/>
    </row>
    <row r="23" spans="1:16">
      <c r="A23" s="26" t="s">
        <v>45</v>
      </c>
      <c r="B23" s="27">
        <v>55507.28</v>
      </c>
      <c r="C23" s="27">
        <v>41666.74</v>
      </c>
      <c r="D23" s="27">
        <v>116156.52</v>
      </c>
      <c r="E23" s="27">
        <v>125361.64</v>
      </c>
      <c r="F23" s="27">
        <v>126386.78</v>
      </c>
      <c r="G23" s="27">
        <v>106983.91</v>
      </c>
      <c r="H23" s="27">
        <v>124075.07</v>
      </c>
      <c r="I23" s="27">
        <v>132139.25</v>
      </c>
      <c r="J23" s="27">
        <v>127389.03</v>
      </c>
      <c r="K23" s="27">
        <v>139626.12</v>
      </c>
      <c r="L23" s="27">
        <v>98218.52</v>
      </c>
      <c r="M23" s="27">
        <v>95423.43</v>
      </c>
      <c r="N23" s="27">
        <v>148033.59</v>
      </c>
      <c r="P23" s="16">
        <f>SUM(B23:N23)</f>
        <v>1436967.88</v>
      </c>
    </row>
    <row r="24" spans="1:16">
      <c r="A24" s="28" t="s">
        <v>46</v>
      </c>
      <c r="B24" s="29">
        <v>0.14879999999999999</v>
      </c>
      <c r="C24" s="29">
        <v>0.18490000000000001</v>
      </c>
      <c r="D24" s="29">
        <v>0.13389999999999999</v>
      </c>
      <c r="E24" s="29">
        <v>0.12959999999999999</v>
      </c>
      <c r="F24" s="29">
        <v>0.1265</v>
      </c>
      <c r="G24" s="29">
        <v>0.13239999999999999</v>
      </c>
      <c r="H24" s="29">
        <v>0.1148</v>
      </c>
      <c r="I24" s="29">
        <v>0.1075</v>
      </c>
      <c r="J24" s="29">
        <v>0.1188</v>
      </c>
      <c r="K24" s="29">
        <v>0.13400000000000001</v>
      </c>
      <c r="L24" s="29">
        <v>0.14979999999999999</v>
      </c>
      <c r="M24" s="29">
        <v>0.1313</v>
      </c>
      <c r="N24" s="29">
        <v>0.1105</v>
      </c>
      <c r="P24" s="18">
        <f>AVERAGE(B24:N24)</f>
        <v>0.13252307692307691</v>
      </c>
    </row>
    <row r="25" spans="1:16">
      <c r="A25" s="30" t="s">
        <v>47</v>
      </c>
      <c r="B25" s="31">
        <v>818</v>
      </c>
      <c r="C25" s="31">
        <v>523</v>
      </c>
      <c r="D25" s="31">
        <v>1743</v>
      </c>
      <c r="E25" s="31">
        <v>1882</v>
      </c>
      <c r="F25" s="31">
        <v>1863</v>
      </c>
      <c r="G25" s="31">
        <v>1556</v>
      </c>
      <c r="H25" s="31">
        <v>1844</v>
      </c>
      <c r="I25" s="31">
        <v>2028</v>
      </c>
      <c r="J25" s="53">
        <v>1928</v>
      </c>
      <c r="K25" s="55">
        <v>2140</v>
      </c>
      <c r="L25" s="55">
        <v>1487</v>
      </c>
      <c r="M25" s="55">
        <v>1352</v>
      </c>
      <c r="N25" s="55">
        <v>1977</v>
      </c>
      <c r="P25" s="21">
        <f>SUM(B25:N25)</f>
        <v>21141</v>
      </c>
    </row>
    <row r="26" spans="1:16">
      <c r="A26" s="35" t="s">
        <v>48</v>
      </c>
      <c r="B26" s="27">
        <v>5726</v>
      </c>
      <c r="C26" s="27">
        <v>1986.46</v>
      </c>
      <c r="D26" s="27">
        <v>12201</v>
      </c>
      <c r="E26" s="42">
        <v>13174</v>
      </c>
      <c r="F26" s="42">
        <v>13041</v>
      </c>
      <c r="G26" s="42">
        <v>10892</v>
      </c>
      <c r="H26" s="42">
        <v>12907.75</v>
      </c>
      <c r="I26" s="42">
        <v>14194.98</v>
      </c>
      <c r="J26" s="52">
        <v>13496</v>
      </c>
      <c r="K26" s="56"/>
      <c r="L26" s="56">
        <v>10406.98</v>
      </c>
      <c r="M26" s="56">
        <v>9463.99</v>
      </c>
      <c r="N26" s="56">
        <v>13836.99</v>
      </c>
      <c r="P26" s="36">
        <f>SUM(B26:N26)</f>
        <v>131327.15</v>
      </c>
    </row>
    <row r="27" spans="1:16">
      <c r="A27" s="35" t="s">
        <v>43</v>
      </c>
      <c r="B27" s="40">
        <f>B23/B25</f>
        <v>67.85731051344743</v>
      </c>
      <c r="C27" s="40">
        <f t="shared" ref="C27" si="1">C23/C25</f>
        <v>79.668718929254297</v>
      </c>
      <c r="D27" s="40">
        <f>D23/D25</f>
        <v>66.641721170395869</v>
      </c>
      <c r="E27" s="40">
        <f>E23/E25</f>
        <v>66.610860786397453</v>
      </c>
      <c r="F27" s="40">
        <f>F23/F25</f>
        <v>67.840461621041328</v>
      </c>
      <c r="G27" s="40">
        <f>G23/G25</f>
        <v>68.755726221079698</v>
      </c>
      <c r="H27" s="40">
        <f>H23/H25</f>
        <v>67.285829718004337</v>
      </c>
      <c r="I27" s="40">
        <f>I23/I25</f>
        <v>65.157421104536496</v>
      </c>
      <c r="J27" s="54">
        <f>J23/J25</f>
        <v>66.073148340248963</v>
      </c>
      <c r="K27" s="57">
        <f>K23/K25</f>
        <v>65.245850467289713</v>
      </c>
      <c r="L27" s="57">
        <f>L23/L25</f>
        <v>66.051459314055151</v>
      </c>
      <c r="M27" s="57">
        <f>M23/M25</f>
        <v>70.579460059171595</v>
      </c>
      <c r="N27" s="57">
        <f>N23/N25</f>
        <v>74.877890743550836</v>
      </c>
      <c r="P27" s="39">
        <f>P23/P25</f>
        <v>67.9706674234899</v>
      </c>
    </row>
    <row r="29" spans="1:16">
      <c r="A29" s="51" t="s">
        <v>49</v>
      </c>
    </row>
    <row r="30" spans="1:16">
      <c r="A30" s="1" t="s">
        <v>1</v>
      </c>
      <c r="B30" s="1" t="s">
        <v>50</v>
      </c>
      <c r="C30" s="1" t="s">
        <v>51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55</v>
      </c>
    </row>
    <row r="31" spans="1:16" ht="121.5">
      <c r="A31" s="3" t="s">
        <v>16</v>
      </c>
      <c r="B31" s="17" t="s">
        <v>56</v>
      </c>
      <c r="C31" s="17" t="s">
        <v>57</v>
      </c>
      <c r="D31" s="17" t="s">
        <v>58</v>
      </c>
      <c r="E31" s="17" t="s">
        <v>59</v>
      </c>
      <c r="F31" s="17" t="s">
        <v>60</v>
      </c>
      <c r="G31" s="17" t="s">
        <v>61</v>
      </c>
      <c r="H31" s="17" t="s">
        <v>61</v>
      </c>
    </row>
    <row r="32" spans="1:16">
      <c r="A32" s="6" t="s">
        <v>19</v>
      </c>
      <c r="B32" s="32" t="s">
        <v>62</v>
      </c>
      <c r="C32" s="32" t="s">
        <v>63</v>
      </c>
      <c r="D32" s="32" t="s">
        <v>64</v>
      </c>
      <c r="E32" s="32" t="s">
        <v>64</v>
      </c>
      <c r="F32" s="32" t="s">
        <v>65</v>
      </c>
      <c r="G32" s="32" t="s">
        <v>66</v>
      </c>
      <c r="H32" s="32" t="s">
        <v>67</v>
      </c>
    </row>
    <row r="33" spans="1:8">
      <c r="A33" s="8" t="s">
        <v>32</v>
      </c>
      <c r="B33" s="9">
        <v>86.45</v>
      </c>
      <c r="C33" s="9">
        <v>187.88</v>
      </c>
      <c r="D33" s="9">
        <v>2735.02</v>
      </c>
      <c r="E33" s="9">
        <v>5040.32</v>
      </c>
      <c r="F33" s="9">
        <v>255.9</v>
      </c>
      <c r="G33" s="9">
        <v>225.88</v>
      </c>
      <c r="H33" s="64">
        <v>0</v>
      </c>
    </row>
    <row r="34" spans="1:8">
      <c r="A34" s="11" t="s">
        <v>33</v>
      </c>
      <c r="B34" s="12">
        <v>7</v>
      </c>
      <c r="C34" s="12">
        <v>20</v>
      </c>
      <c r="D34" s="12">
        <v>15.3</v>
      </c>
      <c r="E34" s="12">
        <v>57.5</v>
      </c>
      <c r="F34" s="12">
        <v>14</v>
      </c>
      <c r="G34" s="12">
        <v>16</v>
      </c>
      <c r="H34" s="66">
        <v>0</v>
      </c>
    </row>
    <row r="35" spans="1:8">
      <c r="A35" s="11" t="s">
        <v>34</v>
      </c>
      <c r="B35" s="12">
        <v>5</v>
      </c>
      <c r="C35" s="12">
        <v>20</v>
      </c>
      <c r="D35" s="12">
        <v>488</v>
      </c>
      <c r="E35" s="12">
        <v>873.96</v>
      </c>
      <c r="F35" s="12">
        <v>30.01</v>
      </c>
      <c r="G35" s="12">
        <v>80.959999999999994</v>
      </c>
      <c r="H35" s="66">
        <v>0</v>
      </c>
    </row>
    <row r="36" spans="1:8">
      <c r="A36" s="11" t="s">
        <v>35</v>
      </c>
      <c r="B36" s="12">
        <v>5</v>
      </c>
      <c r="C36" s="12">
        <v>10</v>
      </c>
      <c r="D36" s="12">
        <v>460</v>
      </c>
      <c r="E36" s="12">
        <v>710</v>
      </c>
      <c r="F36" s="12">
        <v>30</v>
      </c>
      <c r="G36" s="12">
        <v>16</v>
      </c>
      <c r="H36" s="66">
        <v>0</v>
      </c>
    </row>
    <row r="37" spans="1:8">
      <c r="A37" s="11" t="s">
        <v>36</v>
      </c>
      <c r="B37" s="12">
        <f>B33-B34-B35</f>
        <v>74.45</v>
      </c>
      <c r="C37" s="12">
        <f>C33-C34-C35</f>
        <v>147.88</v>
      </c>
      <c r="D37" s="12">
        <f>D33-D34-D35</f>
        <v>2231.7199999999998</v>
      </c>
      <c r="E37" s="12">
        <f>E33-E34-E35</f>
        <v>4108.8599999999997</v>
      </c>
      <c r="F37" s="12">
        <f>F33-F34-F35</f>
        <v>211.89000000000001</v>
      </c>
      <c r="G37" s="12">
        <f>G33-G34-G35</f>
        <v>128.92000000000002</v>
      </c>
      <c r="H37" s="66">
        <f>H33-H34-H35</f>
        <v>0</v>
      </c>
    </row>
    <row r="38" spans="1:8">
      <c r="A38" s="13"/>
      <c r="B38" s="13"/>
      <c r="C38" s="13"/>
      <c r="D38" s="13"/>
      <c r="E38" s="13"/>
      <c r="F38" s="13"/>
      <c r="G38" s="13"/>
      <c r="H38" s="13">
        <v>0</v>
      </c>
    </row>
    <row r="39" spans="1:8">
      <c r="A39" s="11" t="s">
        <v>37</v>
      </c>
      <c r="B39" s="20">
        <v>1</v>
      </c>
      <c r="C39" s="20">
        <v>2</v>
      </c>
      <c r="D39" s="20">
        <v>21</v>
      </c>
      <c r="E39" s="20">
        <v>66</v>
      </c>
      <c r="F39" s="20">
        <v>6</v>
      </c>
      <c r="G39" s="20">
        <v>4</v>
      </c>
      <c r="H39" s="67">
        <v>0</v>
      </c>
    </row>
    <row r="40" spans="1:8">
      <c r="A40" s="11" t="s">
        <v>38</v>
      </c>
      <c r="B40" s="12">
        <f>B33/B39</f>
        <v>86.45</v>
      </c>
      <c r="C40" s="12">
        <f>C33/C39</f>
        <v>93.94</v>
      </c>
      <c r="D40" s="12">
        <f>D33/D39</f>
        <v>130.23904761904762</v>
      </c>
      <c r="E40" s="12">
        <f>E33/E39</f>
        <v>76.36848484848484</v>
      </c>
      <c r="F40" s="12">
        <f>F33/F39</f>
        <v>42.65</v>
      </c>
      <c r="G40" s="12">
        <f>G33/G39</f>
        <v>56.47</v>
      </c>
      <c r="H40" s="66">
        <v>0</v>
      </c>
    </row>
    <row r="41" spans="1:8">
      <c r="A41" s="11" t="s">
        <v>39</v>
      </c>
      <c r="B41" s="12">
        <f>(B33-B34)/B39</f>
        <v>79.45</v>
      </c>
      <c r="C41" s="12">
        <f>(C33-C34)/C39</f>
        <v>83.94</v>
      </c>
      <c r="D41" s="12">
        <f>(D33-D34)/D39</f>
        <v>129.51047619047617</v>
      </c>
      <c r="E41" s="12">
        <f>(E33-E34)/E39</f>
        <v>75.49727272727273</v>
      </c>
      <c r="F41" s="12">
        <f>(F33-F34)/F39</f>
        <v>40.31666666666667</v>
      </c>
      <c r="G41" s="12">
        <f>(G33-G34)/G39</f>
        <v>52.47</v>
      </c>
      <c r="H41" s="66">
        <v>0</v>
      </c>
    </row>
    <row r="42" spans="1:8" ht="30.75">
      <c r="A42" s="15" t="s">
        <v>40</v>
      </c>
      <c r="B42" s="12">
        <f>(B33-B34-B35)/B39</f>
        <v>74.45</v>
      </c>
      <c r="C42" s="12">
        <f>(C33-C34-C35)/C39</f>
        <v>73.94</v>
      </c>
      <c r="D42" s="12">
        <f>(D33-D34-D35)/D39</f>
        <v>106.27238095238094</v>
      </c>
      <c r="E42" s="12">
        <f>(E33-E34-E35)/E39</f>
        <v>62.25545454545454</v>
      </c>
      <c r="F42" s="12">
        <f>(F33-F34-F35)/F39</f>
        <v>35.315000000000005</v>
      </c>
      <c r="G42" s="12">
        <f>(G33-G34-G35)/G39</f>
        <v>32.230000000000004</v>
      </c>
      <c r="H42" s="66">
        <v>0</v>
      </c>
    </row>
    <row r="43" spans="1:8">
      <c r="A43" s="13"/>
      <c r="B43" s="13"/>
      <c r="C43" s="13"/>
      <c r="D43" s="13"/>
      <c r="E43" s="13"/>
      <c r="F43" s="13"/>
      <c r="G43" s="13"/>
      <c r="H43" s="13"/>
    </row>
    <row r="44" spans="1:8" ht="30.75">
      <c r="A44" s="15" t="s">
        <v>41</v>
      </c>
      <c r="B44" s="12">
        <f>B40-B42</f>
        <v>12</v>
      </c>
      <c r="C44" s="12">
        <f>C40-C42</f>
        <v>20</v>
      </c>
      <c r="D44" s="12">
        <f>D40-D42</f>
        <v>23.966666666666683</v>
      </c>
      <c r="E44" s="12">
        <f>E40-E42</f>
        <v>14.1130303030303</v>
      </c>
      <c r="F44" s="12">
        <f>F40-F42</f>
        <v>7.3349999999999937</v>
      </c>
      <c r="G44" s="12">
        <f>G40-G42</f>
        <v>24.239999999999995</v>
      </c>
      <c r="H44" s="66">
        <f>H40-H42</f>
        <v>0</v>
      </c>
    </row>
    <row r="45" spans="1:8" ht="30.75">
      <c r="A45" s="15" t="s">
        <v>42</v>
      </c>
      <c r="B45" s="12">
        <f>B41-B42</f>
        <v>5</v>
      </c>
      <c r="C45" s="47">
        <f>C41-C42</f>
        <v>10</v>
      </c>
      <c r="D45" s="47">
        <f>D41-D42</f>
        <v>23.238095238095227</v>
      </c>
      <c r="E45" s="47">
        <f>E41-E42</f>
        <v>13.241818181818189</v>
      </c>
      <c r="F45" s="47">
        <f>F41-F42</f>
        <v>5.0016666666666652</v>
      </c>
      <c r="G45" s="47">
        <f>G41-G42</f>
        <v>20.239999999999995</v>
      </c>
      <c r="H45" s="70">
        <f>H41-H42</f>
        <v>0</v>
      </c>
    </row>
    <row r="46" spans="1:8">
      <c r="A46" s="44" t="s">
        <v>43</v>
      </c>
      <c r="B46" s="45">
        <f t="shared" ref="B46:H46" si="2">B33/B39</f>
        <v>86.45</v>
      </c>
      <c r="C46" s="45">
        <f t="shared" si="2"/>
        <v>93.94</v>
      </c>
      <c r="D46" s="45">
        <f t="shared" si="2"/>
        <v>130.23904761904762</v>
      </c>
      <c r="E46" s="45">
        <f t="shared" si="2"/>
        <v>76.36848484848484</v>
      </c>
      <c r="F46" s="45">
        <f t="shared" si="2"/>
        <v>42.65</v>
      </c>
      <c r="G46" s="45">
        <f t="shared" si="2"/>
        <v>56.47</v>
      </c>
      <c r="H46" s="72">
        <v>0</v>
      </c>
    </row>
    <row r="48" spans="1:8">
      <c r="A48" s="22" t="s">
        <v>44</v>
      </c>
      <c r="B48" s="22" t="s">
        <v>50</v>
      </c>
      <c r="C48" s="22" t="s">
        <v>51</v>
      </c>
      <c r="D48" s="22" t="s">
        <v>52</v>
      </c>
      <c r="E48" s="22" t="s">
        <v>53</v>
      </c>
      <c r="F48" s="22" t="s">
        <v>54</v>
      </c>
      <c r="G48" s="22" t="s">
        <v>55</v>
      </c>
      <c r="H48" s="22" t="s">
        <v>55</v>
      </c>
    </row>
    <row r="49" spans="1:8" ht="121.5">
      <c r="A49" s="23" t="s">
        <v>16</v>
      </c>
      <c r="B49" s="24" t="s">
        <v>56</v>
      </c>
      <c r="C49" s="24" t="s">
        <v>57</v>
      </c>
      <c r="D49" s="24" t="s">
        <v>58</v>
      </c>
      <c r="E49" s="24" t="s">
        <v>59</v>
      </c>
      <c r="F49" s="24" t="s">
        <v>60</v>
      </c>
      <c r="G49" s="24" t="s">
        <v>61</v>
      </c>
      <c r="H49" s="24" t="s">
        <v>61</v>
      </c>
    </row>
    <row r="50" spans="1:8">
      <c r="A50" s="25" t="s">
        <v>19</v>
      </c>
      <c r="B50" s="33" t="s">
        <v>62</v>
      </c>
      <c r="C50" s="33" t="s">
        <v>63</v>
      </c>
      <c r="D50" s="33" t="s">
        <v>64</v>
      </c>
      <c r="E50" s="33" t="s">
        <v>64</v>
      </c>
      <c r="F50" s="33" t="s">
        <v>65</v>
      </c>
      <c r="G50" s="33" t="s">
        <v>66</v>
      </c>
      <c r="H50" s="33" t="s">
        <v>67</v>
      </c>
    </row>
    <row r="51" spans="1:8">
      <c r="A51" s="26" t="s">
        <v>45</v>
      </c>
      <c r="B51" s="27">
        <v>3236.12</v>
      </c>
      <c r="C51" s="27">
        <v>51.93</v>
      </c>
      <c r="D51" s="27">
        <v>8365.01</v>
      </c>
      <c r="E51" s="27">
        <v>17445.28</v>
      </c>
      <c r="F51" s="27">
        <v>1959.51</v>
      </c>
      <c r="G51" s="27">
        <v>2758.51</v>
      </c>
      <c r="H51" s="27">
        <v>232.15</v>
      </c>
    </row>
    <row r="52" spans="1:8">
      <c r="A52" s="28" t="s">
        <v>46</v>
      </c>
      <c r="B52" s="29">
        <v>0.27529999999999999</v>
      </c>
      <c r="C52" s="29">
        <v>0.1036</v>
      </c>
      <c r="D52" s="29">
        <v>0.11269999999999999</v>
      </c>
      <c r="E52" s="29">
        <v>0.1341</v>
      </c>
      <c r="F52" s="29">
        <v>0.16250000000000001</v>
      </c>
      <c r="G52" s="29">
        <v>0.12280000000000001</v>
      </c>
      <c r="H52" s="29">
        <v>5.2900000000000003E-2</v>
      </c>
    </row>
    <row r="53" spans="1:8">
      <c r="A53" s="30" t="s">
        <v>47</v>
      </c>
      <c r="B53" s="31">
        <v>45</v>
      </c>
      <c r="C53" s="31">
        <v>6</v>
      </c>
      <c r="D53" s="31">
        <v>61</v>
      </c>
      <c r="E53" s="31">
        <v>223</v>
      </c>
      <c r="F53" s="31">
        <v>33</v>
      </c>
      <c r="G53" s="31">
        <v>37</v>
      </c>
      <c r="H53" s="31">
        <v>6</v>
      </c>
    </row>
    <row r="54" spans="1:8">
      <c r="A54" s="35" t="s">
        <v>48</v>
      </c>
      <c r="B54" s="27">
        <v>225</v>
      </c>
      <c r="C54" s="43">
        <v>30</v>
      </c>
      <c r="D54" s="43">
        <v>1260</v>
      </c>
      <c r="E54" s="43">
        <v>2250</v>
      </c>
      <c r="F54" s="43">
        <v>165</v>
      </c>
      <c r="G54" s="43"/>
      <c r="H54" s="43">
        <v>28</v>
      </c>
    </row>
    <row r="55" spans="1:8">
      <c r="A55" s="35" t="s">
        <v>43</v>
      </c>
      <c r="B55" s="40">
        <f t="shared" ref="B55:H55" si="3">B51/B53</f>
        <v>71.913777777777781</v>
      </c>
      <c r="C55" s="40">
        <f t="shared" si="3"/>
        <v>8.6549999999999994</v>
      </c>
      <c r="D55" s="40">
        <f t="shared" si="3"/>
        <v>137.13131147540983</v>
      </c>
      <c r="E55" s="40">
        <f t="shared" si="3"/>
        <v>78.229955156950666</v>
      </c>
      <c r="F55" s="40">
        <f t="shared" si="3"/>
        <v>59.379090909090905</v>
      </c>
      <c r="G55" s="40">
        <f t="shared" si="3"/>
        <v>74.554324324324327</v>
      </c>
      <c r="H55" s="40">
        <f t="shared" si="3"/>
        <v>38.69166666666667</v>
      </c>
    </row>
    <row r="57" spans="1:8">
      <c r="A57" s="51" t="s">
        <v>68</v>
      </c>
    </row>
    <row r="58" spans="1:8">
      <c r="A58" s="1" t="s">
        <v>1</v>
      </c>
      <c r="B58" s="1" t="s">
        <v>69</v>
      </c>
      <c r="C58" s="1" t="s">
        <v>70</v>
      </c>
      <c r="D58" s="1" t="s">
        <v>71</v>
      </c>
      <c r="E58" s="1" t="s">
        <v>72</v>
      </c>
      <c r="F58" s="1" t="s">
        <v>73</v>
      </c>
      <c r="G58" s="1" t="s">
        <v>74</v>
      </c>
    </row>
    <row r="59" spans="1:8" ht="121.5">
      <c r="A59" s="3" t="s">
        <v>16</v>
      </c>
      <c r="B59" s="17" t="s">
        <v>75</v>
      </c>
      <c r="C59" s="17" t="s">
        <v>76</v>
      </c>
      <c r="D59" s="17" t="s">
        <v>77</v>
      </c>
      <c r="E59" s="17" t="s">
        <v>78</v>
      </c>
      <c r="F59" s="17" t="s">
        <v>79</v>
      </c>
      <c r="G59" s="17" t="s">
        <v>80</v>
      </c>
    </row>
    <row r="60" spans="1:8">
      <c r="A60" s="6" t="s">
        <v>19</v>
      </c>
      <c r="B60" s="32" t="s">
        <v>81</v>
      </c>
      <c r="C60" s="32" t="s">
        <v>82</v>
      </c>
      <c r="D60" s="32" t="s">
        <v>83</v>
      </c>
      <c r="E60" s="32" t="s">
        <v>84</v>
      </c>
      <c r="F60" s="32" t="s">
        <v>85</v>
      </c>
      <c r="G60" s="32" t="s">
        <v>86</v>
      </c>
    </row>
    <row r="61" spans="1:8">
      <c r="A61" s="8" t="s">
        <v>32</v>
      </c>
      <c r="B61" s="9">
        <v>32055.93</v>
      </c>
      <c r="C61" s="9">
        <v>20393.47</v>
      </c>
      <c r="D61" s="9">
        <v>27711.37</v>
      </c>
      <c r="E61" s="9">
        <v>26860.53</v>
      </c>
      <c r="F61" s="9">
        <v>13485.58</v>
      </c>
      <c r="G61" s="9">
        <v>0</v>
      </c>
    </row>
    <row r="62" spans="1:8">
      <c r="A62" s="11" t="s">
        <v>33</v>
      </c>
      <c r="B62" s="12">
        <v>2250.83</v>
      </c>
      <c r="C62" s="12">
        <v>1299.5</v>
      </c>
      <c r="D62" s="12">
        <v>1641.84</v>
      </c>
      <c r="E62" s="12">
        <v>1809.69</v>
      </c>
      <c r="F62" s="12">
        <v>840.7</v>
      </c>
      <c r="G62" s="12">
        <v>0</v>
      </c>
    </row>
    <row r="63" spans="1:8">
      <c r="A63" s="11" t="s">
        <v>34</v>
      </c>
      <c r="B63" s="12">
        <v>5347.54</v>
      </c>
      <c r="C63" s="12">
        <v>3286.16</v>
      </c>
      <c r="D63" s="12">
        <v>4947.95</v>
      </c>
      <c r="E63" s="12">
        <v>5281.71</v>
      </c>
      <c r="F63" s="12">
        <v>2033.69</v>
      </c>
      <c r="G63" s="12">
        <v>0</v>
      </c>
    </row>
    <row r="64" spans="1:8">
      <c r="A64" s="11" t="s">
        <v>35</v>
      </c>
      <c r="B64" s="12">
        <v>2986.13</v>
      </c>
      <c r="C64" s="12">
        <v>1781.33</v>
      </c>
      <c r="D64" s="12">
        <v>2314.58</v>
      </c>
      <c r="E64" s="12">
        <v>3055.09</v>
      </c>
      <c r="F64" s="12">
        <v>1189.79</v>
      </c>
      <c r="G64" s="12">
        <v>0</v>
      </c>
    </row>
    <row r="65" spans="1:7">
      <c r="A65" s="11" t="s">
        <v>36</v>
      </c>
      <c r="B65" s="12">
        <f>B61-B62-B63</f>
        <v>24457.559999999998</v>
      </c>
      <c r="C65" s="12">
        <f>C61-C62-C63</f>
        <v>15807.810000000001</v>
      </c>
      <c r="D65" s="12">
        <f>D61-D62-D63</f>
        <v>21121.579999999998</v>
      </c>
      <c r="E65" s="12">
        <f>E61-E62-E63</f>
        <v>19769.13</v>
      </c>
      <c r="F65" s="12">
        <f>F61-F62-F63</f>
        <v>10611.189999999999</v>
      </c>
      <c r="G65" s="12">
        <f>G61-G62-G63</f>
        <v>0</v>
      </c>
    </row>
    <row r="66" spans="1:7">
      <c r="A66" s="13"/>
      <c r="B66" s="13"/>
      <c r="C66" s="13"/>
      <c r="D66" s="13"/>
      <c r="E66" s="13"/>
      <c r="F66" s="13"/>
      <c r="G66" s="13"/>
    </row>
    <row r="67" spans="1:7">
      <c r="A67" s="11" t="s">
        <v>37</v>
      </c>
      <c r="B67" s="20">
        <v>287</v>
      </c>
      <c r="C67" s="20">
        <v>167</v>
      </c>
      <c r="D67" s="20">
        <v>242</v>
      </c>
      <c r="E67" s="20">
        <v>251</v>
      </c>
      <c r="F67" s="20">
        <v>121</v>
      </c>
      <c r="G67" s="20">
        <v>182</v>
      </c>
    </row>
    <row r="68" spans="1:7">
      <c r="A68" s="11" t="s">
        <v>38</v>
      </c>
      <c r="B68" s="12">
        <f>B61/B67</f>
        <v>111.69313588850174</v>
      </c>
      <c r="C68" s="12">
        <f>C61/C67</f>
        <v>122.11658682634732</v>
      </c>
      <c r="D68" s="12">
        <f>D61/D67</f>
        <v>114.50979338842974</v>
      </c>
      <c r="E68" s="12">
        <f>E61/E67</f>
        <v>107.01406374501991</v>
      </c>
      <c r="F68" s="12">
        <f>F61/F67</f>
        <v>111.45107438016529</v>
      </c>
      <c r="G68" s="12">
        <f>G61/G67</f>
        <v>0</v>
      </c>
    </row>
    <row r="69" spans="1:7">
      <c r="A69" s="11" t="s">
        <v>39</v>
      </c>
      <c r="B69" s="12">
        <f>(B61-B62)/B67</f>
        <v>103.85052264808363</v>
      </c>
      <c r="C69" s="12">
        <f>(C61-C62)/C67</f>
        <v>114.33514970059881</v>
      </c>
      <c r="D69" s="12">
        <f>(D61-D62)/D67</f>
        <v>107.7253305785124</v>
      </c>
      <c r="E69" s="12">
        <f>(E61-E62)/E67</f>
        <v>99.804143426294814</v>
      </c>
      <c r="F69" s="12">
        <f>(F61-F62)/F67</f>
        <v>104.50314049586777</v>
      </c>
      <c r="G69" s="12">
        <f>(G61-G62)/G67</f>
        <v>0</v>
      </c>
    </row>
    <row r="70" spans="1:7" ht="30.75">
      <c r="A70" s="15" t="s">
        <v>40</v>
      </c>
      <c r="B70" s="12">
        <f>(B61-B62-B63)/B67</f>
        <v>85.217979094076654</v>
      </c>
      <c r="C70" s="12">
        <f>(C61-C62-C63)/C67</f>
        <v>94.657544910179652</v>
      </c>
      <c r="D70" s="12">
        <f>(D61-D62-D63)/D67</f>
        <v>87.279256198347099</v>
      </c>
      <c r="E70" s="12">
        <f>(E61-E62-E63)/E67</f>
        <v>78.761474103585655</v>
      </c>
      <c r="F70" s="12">
        <f>(F61-F62-F63)/F67</f>
        <v>87.695785123966928</v>
      </c>
      <c r="G70" s="12">
        <f>(G61-G62-G63)/G67</f>
        <v>0</v>
      </c>
    </row>
    <row r="71" spans="1:7">
      <c r="A71" s="13"/>
      <c r="B71" s="13"/>
      <c r="C71" s="13"/>
      <c r="D71" s="13"/>
      <c r="E71" s="13"/>
      <c r="F71" s="13"/>
      <c r="G71" s="13"/>
    </row>
    <row r="72" spans="1:7" ht="30.75">
      <c r="A72" s="15" t="s">
        <v>41</v>
      </c>
      <c r="B72" s="12">
        <f>B68-B70</f>
        <v>26.475156794425089</v>
      </c>
      <c r="C72" s="12">
        <f>C68-C70</f>
        <v>27.459041916167664</v>
      </c>
      <c r="D72" s="12">
        <f>D68-D70</f>
        <v>27.230537190082643</v>
      </c>
      <c r="E72" s="12">
        <f>E68-E70</f>
        <v>28.252589641434255</v>
      </c>
      <c r="F72" s="12">
        <f>F68-F70</f>
        <v>23.755289256198367</v>
      </c>
      <c r="G72" s="12">
        <f>G68-G70</f>
        <v>0</v>
      </c>
    </row>
    <row r="73" spans="1:7" ht="30.75">
      <c r="A73" s="15" t="s">
        <v>42</v>
      </c>
      <c r="B73" s="12">
        <f>B69-B70</f>
        <v>18.632543554006972</v>
      </c>
      <c r="C73" s="47">
        <f>C69-C70</f>
        <v>19.677604790419153</v>
      </c>
      <c r="D73" s="47">
        <f>D69-D70</f>
        <v>20.4460743801653</v>
      </c>
      <c r="E73" s="47">
        <f>E69-E70</f>
        <v>21.042669322709159</v>
      </c>
      <c r="F73" s="47">
        <f>F69-F70</f>
        <v>16.80735537190084</v>
      </c>
      <c r="G73" s="47">
        <f>G69-G70</f>
        <v>0</v>
      </c>
    </row>
    <row r="74" spans="1:7">
      <c r="A74" s="44" t="s">
        <v>43</v>
      </c>
      <c r="B74" s="45">
        <f t="shared" ref="B74:F74" si="4">B61/B67</f>
        <v>111.69313588850174</v>
      </c>
      <c r="C74" s="45">
        <f t="shared" si="4"/>
        <v>122.11658682634732</v>
      </c>
      <c r="D74" s="45">
        <f t="shared" si="4"/>
        <v>114.50979338842974</v>
      </c>
      <c r="E74" s="45">
        <f t="shared" si="4"/>
        <v>107.01406374501991</v>
      </c>
      <c r="F74" s="45">
        <f t="shared" si="4"/>
        <v>111.45107438016529</v>
      </c>
      <c r="G74" s="45"/>
    </row>
    <row r="76" spans="1:7">
      <c r="A76" s="22" t="s">
        <v>44</v>
      </c>
      <c r="B76" s="22" t="s">
        <v>69</v>
      </c>
      <c r="C76" s="22" t="s">
        <v>70</v>
      </c>
      <c r="D76" s="22" t="s">
        <v>71</v>
      </c>
      <c r="E76" s="22" t="s">
        <v>72</v>
      </c>
      <c r="F76" s="22" t="s">
        <v>73</v>
      </c>
      <c r="G76" s="22" t="s">
        <v>74</v>
      </c>
    </row>
    <row r="77" spans="1:7" ht="121.5">
      <c r="A77" s="23" t="s">
        <v>16</v>
      </c>
      <c r="B77" s="24" t="s">
        <v>75</v>
      </c>
      <c r="C77" s="24" t="s">
        <v>76</v>
      </c>
      <c r="D77" s="24" t="s">
        <v>77</v>
      </c>
      <c r="E77" s="24" t="s">
        <v>78</v>
      </c>
      <c r="F77" s="24" t="s">
        <v>79</v>
      </c>
      <c r="G77" s="24" t="s">
        <v>80</v>
      </c>
    </row>
    <row r="78" spans="1:7">
      <c r="A78" s="25" t="s">
        <v>19</v>
      </c>
      <c r="B78" s="33" t="s">
        <v>81</v>
      </c>
      <c r="C78" s="33" t="s">
        <v>82</v>
      </c>
      <c r="D78" s="33" t="s">
        <v>83</v>
      </c>
      <c r="E78" s="33" t="s">
        <v>84</v>
      </c>
      <c r="F78" s="33" t="s">
        <v>85</v>
      </c>
      <c r="G78" s="33" t="s">
        <v>86</v>
      </c>
    </row>
    <row r="79" spans="1:7">
      <c r="A79" s="26" t="s">
        <v>45</v>
      </c>
      <c r="B79" s="27">
        <v>119911.84</v>
      </c>
      <c r="C79" s="27">
        <v>73648.38</v>
      </c>
      <c r="D79" s="27">
        <v>106853.12</v>
      </c>
      <c r="E79" s="27">
        <v>89562.28</v>
      </c>
      <c r="F79" s="27">
        <v>79738.58</v>
      </c>
      <c r="G79" s="27">
        <v>88443.839999999997</v>
      </c>
    </row>
    <row r="80" spans="1:7">
      <c r="A80" s="28" t="s">
        <v>46</v>
      </c>
      <c r="B80" s="29">
        <v>0.16089999999999999</v>
      </c>
      <c r="C80" s="29">
        <v>0.14369999999999999</v>
      </c>
      <c r="D80" s="29">
        <v>0.1384</v>
      </c>
      <c r="E80" s="29">
        <v>0.1245</v>
      </c>
      <c r="F80" s="29">
        <v>0.1414</v>
      </c>
      <c r="G80" s="29">
        <v>0.161</v>
      </c>
    </row>
    <row r="81" spans="1:7">
      <c r="A81" s="30" t="s">
        <v>47</v>
      </c>
      <c r="B81" s="31">
        <v>1317</v>
      </c>
      <c r="C81" s="31">
        <v>757</v>
      </c>
      <c r="D81" s="31">
        <v>1112</v>
      </c>
      <c r="E81" s="31">
        <v>1003</v>
      </c>
      <c r="F81" s="31">
        <v>911</v>
      </c>
      <c r="G81" s="55">
        <v>950</v>
      </c>
    </row>
    <row r="82" spans="1:7">
      <c r="A82" s="35" t="s">
        <v>48</v>
      </c>
      <c r="B82" s="27">
        <v>13606.18</v>
      </c>
      <c r="C82" s="43">
        <v>50344.82</v>
      </c>
      <c r="D82" s="43">
        <v>10563.87</v>
      </c>
      <c r="E82" s="43">
        <v>10563.32</v>
      </c>
      <c r="F82" s="42">
        <v>8882.89</v>
      </c>
      <c r="G82" s="56">
        <v>9763.14</v>
      </c>
    </row>
    <row r="83" spans="1:7">
      <c r="A83" s="35" t="s">
        <v>43</v>
      </c>
      <c r="B83" s="40">
        <f t="shared" ref="B83:F83" si="5">B79/B81</f>
        <v>91.049233105542896</v>
      </c>
      <c r="C83" s="40">
        <f t="shared" si="5"/>
        <v>97.289801849405549</v>
      </c>
      <c r="D83" s="40">
        <f t="shared" si="5"/>
        <v>96.090935251798555</v>
      </c>
      <c r="E83" s="40">
        <f t="shared" si="5"/>
        <v>89.294396809571282</v>
      </c>
      <c r="F83" s="40">
        <f t="shared" si="5"/>
        <v>87.528627881448955</v>
      </c>
      <c r="G83" s="57">
        <f>G79/G81</f>
        <v>93.098778947368416</v>
      </c>
    </row>
  </sheetData>
  <conditionalFormatting sqref="B5:N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N1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N1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N2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N2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N25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N24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9:F39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9:G3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G3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G4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1:H5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5:H55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3:H5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7:G6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1:F6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4:F7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3:G8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9:G7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1:F8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:G8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F961-624A-4762-82AA-49D2A6AE21A3}">
  <dimension ref="A1:I26"/>
  <sheetViews>
    <sheetView tabSelected="1" workbookViewId="0">
      <pane xSplit="1" topLeftCell="B5" activePane="topRight" state="frozen"/>
      <selection pane="topRight" activeCell="E23" sqref="E23"/>
    </sheetView>
  </sheetViews>
  <sheetFormatPr defaultRowHeight="15"/>
  <cols>
    <col min="1" max="1" width="30.7109375" customWidth="1"/>
    <col min="2" max="7" width="21.7109375" customWidth="1"/>
    <col min="8" max="8" width="10.140625" customWidth="1"/>
    <col min="9" max="9" width="15.85546875" customWidth="1"/>
  </cols>
  <sheetData>
    <row r="1" spans="1:9">
      <c r="A1" s="58" t="s">
        <v>1</v>
      </c>
      <c r="B1" s="58" t="s">
        <v>14</v>
      </c>
      <c r="C1" s="58" t="s">
        <v>87</v>
      </c>
      <c r="D1" s="58" t="s">
        <v>55</v>
      </c>
      <c r="E1" s="58"/>
      <c r="F1" s="58"/>
      <c r="G1" s="58"/>
      <c r="H1" s="2"/>
      <c r="I1" s="2" t="s">
        <v>15</v>
      </c>
    </row>
    <row r="2" spans="1:9" ht="90.75" customHeight="1">
      <c r="A2" s="61" t="s">
        <v>16</v>
      </c>
      <c r="B2" s="59" t="s">
        <v>17</v>
      </c>
      <c r="C2" s="59" t="s">
        <v>88</v>
      </c>
      <c r="D2" s="59" t="s">
        <v>61</v>
      </c>
      <c r="E2" s="59"/>
      <c r="F2" s="59"/>
      <c r="G2" s="59"/>
      <c r="H2" s="4"/>
      <c r="I2" s="5"/>
    </row>
    <row r="3" spans="1:9">
      <c r="A3" s="62" t="s">
        <v>19</v>
      </c>
      <c r="B3" s="60" t="s">
        <v>31</v>
      </c>
      <c r="C3" s="60" t="s">
        <v>89</v>
      </c>
      <c r="D3" s="60" t="s">
        <v>67</v>
      </c>
      <c r="E3" s="60"/>
      <c r="F3" s="60"/>
      <c r="G3" s="60"/>
      <c r="H3" s="4"/>
      <c r="I3" s="4"/>
    </row>
    <row r="4" spans="1:9">
      <c r="A4" s="63" t="s">
        <v>32</v>
      </c>
      <c r="B4" s="64">
        <v>12885.73</v>
      </c>
      <c r="C4" s="64">
        <v>4538.9799999999996</v>
      </c>
      <c r="D4" s="64">
        <v>0</v>
      </c>
      <c r="E4" s="64"/>
      <c r="F4" s="64"/>
      <c r="G4" s="64"/>
      <c r="H4" s="10"/>
      <c r="I4" s="10">
        <f>SUM(B4:G4)</f>
        <v>17424.71</v>
      </c>
    </row>
    <row r="5" spans="1:9">
      <c r="A5" s="65" t="s">
        <v>33</v>
      </c>
      <c r="B5" s="66"/>
      <c r="C5" s="66"/>
      <c r="D5" s="66">
        <v>0</v>
      </c>
      <c r="E5" s="66"/>
      <c r="F5" s="66"/>
      <c r="G5" s="66"/>
      <c r="H5" s="10"/>
      <c r="I5" s="10">
        <f t="shared" ref="I5:I8" si="0">SUM(B5:G5)</f>
        <v>0</v>
      </c>
    </row>
    <row r="6" spans="1:9">
      <c r="A6" s="65" t="s">
        <v>34</v>
      </c>
      <c r="B6" s="66">
        <v>0</v>
      </c>
      <c r="C6" s="66">
        <v>1430.8</v>
      </c>
      <c r="D6" s="66">
        <v>0</v>
      </c>
      <c r="E6" s="66"/>
      <c r="F6" s="66"/>
      <c r="G6" s="66"/>
      <c r="H6" s="10"/>
      <c r="I6" s="10">
        <f t="shared" si="0"/>
        <v>1430.8</v>
      </c>
    </row>
    <row r="7" spans="1:9">
      <c r="A7" s="65" t="s">
        <v>35</v>
      </c>
      <c r="B7" s="66"/>
      <c r="C7" s="66"/>
      <c r="D7" s="66">
        <v>0</v>
      </c>
      <c r="E7" s="66"/>
      <c r="F7" s="66"/>
      <c r="G7" s="66"/>
      <c r="H7" s="10"/>
      <c r="I7" s="10">
        <f t="shared" si="0"/>
        <v>0</v>
      </c>
    </row>
    <row r="8" spans="1:9">
      <c r="A8" s="65" t="s">
        <v>36</v>
      </c>
      <c r="B8" s="66">
        <f>B4-B5-B6</f>
        <v>12885.73</v>
      </c>
      <c r="C8" s="66">
        <f>C4-C5-C6</f>
        <v>3108.1799999999994</v>
      </c>
      <c r="D8" s="66">
        <f>D4-D5-D6</f>
        <v>0</v>
      </c>
      <c r="E8" s="66"/>
      <c r="F8" s="66"/>
      <c r="G8" s="66"/>
      <c r="H8" s="10"/>
      <c r="I8" s="10">
        <f t="shared" si="0"/>
        <v>15993.91</v>
      </c>
    </row>
    <row r="9" spans="1:9" ht="7.5" customHeight="1">
      <c r="A9" s="65"/>
      <c r="B9" s="13"/>
      <c r="C9" s="13"/>
      <c r="D9" s="13">
        <v>0</v>
      </c>
      <c r="E9" s="13"/>
      <c r="F9" s="13"/>
      <c r="G9" s="13"/>
      <c r="H9" s="14"/>
      <c r="I9" s="14"/>
    </row>
    <row r="10" spans="1:9">
      <c r="A10" s="65" t="s">
        <v>37</v>
      </c>
      <c r="B10" s="67">
        <v>122</v>
      </c>
      <c r="C10" s="67">
        <v>33</v>
      </c>
      <c r="D10" s="67">
        <v>0</v>
      </c>
      <c r="E10" s="67"/>
      <c r="F10" s="67"/>
      <c r="G10" s="67"/>
      <c r="I10" s="34">
        <f>SUM(B10:G10)</f>
        <v>155</v>
      </c>
    </row>
    <row r="11" spans="1:9">
      <c r="A11" s="65" t="s">
        <v>38</v>
      </c>
      <c r="B11" s="66">
        <f>B4/B10</f>
        <v>105.62073770491803</v>
      </c>
      <c r="C11" s="66">
        <f>C4/C10</f>
        <v>137.54484848484847</v>
      </c>
      <c r="D11" s="66">
        <v>0</v>
      </c>
      <c r="E11" s="66"/>
      <c r="F11" s="66"/>
      <c r="G11" s="66"/>
      <c r="H11" s="10"/>
      <c r="I11" s="10">
        <f>AVERAGE(B11:G11)</f>
        <v>81.055195396588829</v>
      </c>
    </row>
    <row r="12" spans="1:9">
      <c r="A12" s="65" t="s">
        <v>39</v>
      </c>
      <c r="B12" s="66">
        <f>(B4-B5)/B10</f>
        <v>105.62073770491803</v>
      </c>
      <c r="C12" s="66">
        <f>(C4-C5)/C10</f>
        <v>137.54484848484847</v>
      </c>
      <c r="D12" s="66">
        <v>0</v>
      </c>
      <c r="E12" s="66"/>
      <c r="F12" s="66"/>
      <c r="G12" s="66"/>
      <c r="H12" s="10"/>
      <c r="I12" s="10">
        <f t="shared" ref="I12:I13" si="1">AVERAGE(B12:G12)</f>
        <v>81.055195396588829</v>
      </c>
    </row>
    <row r="13" spans="1:9" ht="30.75">
      <c r="A13" s="68" t="s">
        <v>40</v>
      </c>
      <c r="B13" s="66">
        <f>(B4-B5-B6)/B10</f>
        <v>105.62073770491803</v>
      </c>
      <c r="C13" s="66">
        <f>(C4-C5-C6)/C10</f>
        <v>94.187272727272713</v>
      </c>
      <c r="D13" s="66">
        <v>0</v>
      </c>
      <c r="E13" s="66"/>
      <c r="F13" s="66"/>
      <c r="G13" s="66"/>
      <c r="H13" s="10"/>
      <c r="I13" s="10">
        <f t="shared" si="1"/>
        <v>66.60267014406358</v>
      </c>
    </row>
    <row r="14" spans="1:9" ht="8.25" customHeight="1">
      <c r="A14" s="65"/>
      <c r="B14" s="13"/>
      <c r="C14" s="13"/>
      <c r="D14" s="13"/>
      <c r="E14" s="13"/>
      <c r="F14" s="13"/>
      <c r="G14" s="13"/>
      <c r="H14" s="14"/>
      <c r="I14" s="14"/>
    </row>
    <row r="15" spans="1:9" ht="30.75">
      <c r="A15" s="68" t="s">
        <v>41</v>
      </c>
      <c r="B15" s="66">
        <f>B11-B13</f>
        <v>0</v>
      </c>
      <c r="C15" s="66">
        <f>C11-C13</f>
        <v>43.357575757575759</v>
      </c>
      <c r="D15" s="66">
        <f>D11-D13</f>
        <v>0</v>
      </c>
      <c r="E15" s="66"/>
      <c r="F15" s="66"/>
      <c r="G15" s="66"/>
      <c r="H15" s="10"/>
      <c r="I15" s="10">
        <f>SUM(B15:G15)</f>
        <v>43.357575757575759</v>
      </c>
    </row>
    <row r="16" spans="1:9" ht="30.75">
      <c r="A16" s="69" t="s">
        <v>42</v>
      </c>
      <c r="B16" s="70">
        <f>B12-B13</f>
        <v>0</v>
      </c>
      <c r="C16" s="70">
        <f>C12-C13</f>
        <v>43.357575757575759</v>
      </c>
      <c r="D16" s="70">
        <f>D12-D13</f>
        <v>0</v>
      </c>
      <c r="E16" s="70"/>
      <c r="F16" s="70"/>
      <c r="G16" s="70"/>
      <c r="H16" s="10"/>
      <c r="I16" s="10">
        <f>SUM(B16:G16)</f>
        <v>43.357575757575759</v>
      </c>
    </row>
    <row r="17" spans="1:9">
      <c r="A17" s="71" t="s">
        <v>43</v>
      </c>
      <c r="B17" s="72">
        <f>B4/B10</f>
        <v>105.62073770491803</v>
      </c>
      <c r="C17" s="72">
        <f>C4/C10</f>
        <v>137.54484848484847</v>
      </c>
      <c r="D17" s="72">
        <v>0</v>
      </c>
      <c r="E17" s="72"/>
      <c r="F17" s="72"/>
      <c r="G17" s="72"/>
      <c r="H17" s="10"/>
      <c r="I17" s="10">
        <f>I4/I10</f>
        <v>112.41748387096774</v>
      </c>
    </row>
    <row r="18" spans="1:9">
      <c r="I18" s="10"/>
    </row>
    <row r="19" spans="1:9">
      <c r="A19" s="22" t="s">
        <v>44</v>
      </c>
      <c r="B19" s="22" t="s">
        <v>14</v>
      </c>
      <c r="C19" s="22"/>
      <c r="D19" s="22" t="s">
        <v>55</v>
      </c>
      <c r="E19" s="87" t="s">
        <v>90</v>
      </c>
      <c r="F19" s="88" t="s">
        <v>91</v>
      </c>
      <c r="G19" s="89">
        <v>46016</v>
      </c>
      <c r="I19" s="2"/>
    </row>
    <row r="20" spans="1:9" ht="86.25" customHeight="1">
      <c r="A20" s="23" t="s">
        <v>16</v>
      </c>
      <c r="B20" s="24" t="s">
        <v>17</v>
      </c>
      <c r="C20" s="24"/>
      <c r="D20" s="24" t="s">
        <v>61</v>
      </c>
      <c r="E20" s="90" t="s">
        <v>92</v>
      </c>
      <c r="F20" s="91" t="s">
        <v>93</v>
      </c>
      <c r="G20" s="92" t="s">
        <v>94</v>
      </c>
      <c r="I20" s="5"/>
    </row>
    <row r="21" spans="1:9">
      <c r="A21" s="25" t="s">
        <v>19</v>
      </c>
      <c r="B21" s="33" t="s">
        <v>31</v>
      </c>
      <c r="C21" s="33"/>
      <c r="D21" s="33" t="s">
        <v>67</v>
      </c>
      <c r="E21" s="74" t="s">
        <v>95</v>
      </c>
      <c r="F21" s="80" t="s">
        <v>96</v>
      </c>
      <c r="G21" s="74" t="s">
        <v>97</v>
      </c>
      <c r="I21" s="7"/>
    </row>
    <row r="22" spans="1:9">
      <c r="A22" s="26" t="s">
        <v>45</v>
      </c>
      <c r="B22" s="27">
        <v>148033.59</v>
      </c>
      <c r="C22" s="27"/>
      <c r="D22" s="27">
        <v>232.15</v>
      </c>
      <c r="E22" s="75">
        <v>14373.63</v>
      </c>
      <c r="F22" s="81">
        <v>26525.96</v>
      </c>
      <c r="G22" s="75">
        <v>513895.69</v>
      </c>
      <c r="H22" s="16"/>
      <c r="I22" s="16">
        <f>SUM(B22:G22)</f>
        <v>703061.02</v>
      </c>
    </row>
    <row r="23" spans="1:9">
      <c r="A23" s="28" t="s">
        <v>46</v>
      </c>
      <c r="B23" s="29">
        <v>0.1105</v>
      </c>
      <c r="C23" s="29"/>
      <c r="D23" s="29">
        <v>5.2900000000000003E-2</v>
      </c>
      <c r="E23" s="76">
        <v>0.1232</v>
      </c>
      <c r="F23" s="82">
        <v>0.106</v>
      </c>
      <c r="G23" s="76">
        <v>0.1255</v>
      </c>
      <c r="H23" s="18"/>
      <c r="I23" s="18">
        <f>AVERAGE(B23:G23)</f>
        <v>0.10362</v>
      </c>
    </row>
    <row r="24" spans="1:9">
      <c r="A24" s="30" t="s">
        <v>47</v>
      </c>
      <c r="B24" s="55">
        <v>1977</v>
      </c>
      <c r="C24" s="55"/>
      <c r="D24" s="31">
        <v>6</v>
      </c>
      <c r="E24" s="83">
        <v>107</v>
      </c>
      <c r="F24" s="84">
        <v>465</v>
      </c>
      <c r="G24" s="77">
        <v>4314</v>
      </c>
      <c r="I24" s="21">
        <f>SUM(B24:G24)</f>
        <v>6869</v>
      </c>
    </row>
    <row r="25" spans="1:9">
      <c r="A25" s="41" t="s">
        <v>48</v>
      </c>
      <c r="B25" s="56">
        <v>13836.99</v>
      </c>
      <c r="C25" s="56"/>
      <c r="D25" s="43">
        <v>28</v>
      </c>
      <c r="E25" s="78">
        <v>1605</v>
      </c>
      <c r="F25" s="85">
        <v>4015.14</v>
      </c>
      <c r="G25" s="78">
        <v>43140</v>
      </c>
      <c r="I25" s="16">
        <f>SUM(B25:G25)</f>
        <v>62625.130000000005</v>
      </c>
    </row>
    <row r="26" spans="1:9">
      <c r="A26" s="35" t="s">
        <v>43</v>
      </c>
      <c r="B26" s="57">
        <f>B22/B24</f>
        <v>74.877890743550836</v>
      </c>
      <c r="C26" s="57"/>
      <c r="D26" s="40">
        <f t="shared" ref="D26" si="2">D22/D24</f>
        <v>38.69166666666667</v>
      </c>
      <c r="E26" s="79">
        <v>134.33000000000001</v>
      </c>
      <c r="F26" s="86">
        <v>57.05</v>
      </c>
      <c r="G26" s="79">
        <v>119.12</v>
      </c>
      <c r="I26" s="39">
        <f>I22/I24</f>
        <v>102.35274712476344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2732-82D6-4AFB-B746-AF6A0F43E756}">
  <dimension ref="A1:E26"/>
  <sheetViews>
    <sheetView workbookViewId="0">
      <pane xSplit="1" topLeftCell="B6" activePane="topRight" state="frozen"/>
      <selection pane="topRight" activeCell="B4" sqref="B4:B17"/>
    </sheetView>
  </sheetViews>
  <sheetFormatPr defaultRowHeight="15"/>
  <cols>
    <col min="1" max="1" width="30.7109375" customWidth="1"/>
    <col min="2" max="2" width="21.7109375" customWidth="1"/>
    <col min="3" max="3" width="22.7109375" customWidth="1"/>
    <col min="4" max="4" width="12.85546875" customWidth="1"/>
    <col min="5" max="5" width="15.85546875" customWidth="1"/>
  </cols>
  <sheetData>
    <row r="1" spans="1:5">
      <c r="A1" s="1" t="s">
        <v>1</v>
      </c>
      <c r="B1" s="1" t="s">
        <v>13</v>
      </c>
      <c r="C1" s="1" t="s">
        <v>74</v>
      </c>
      <c r="D1" s="2"/>
      <c r="E1" s="2" t="s">
        <v>15</v>
      </c>
    </row>
    <row r="2" spans="1:5" ht="90.75" customHeight="1">
      <c r="A2" s="3" t="s">
        <v>16</v>
      </c>
      <c r="B2" s="17" t="s">
        <v>17</v>
      </c>
      <c r="C2" s="17" t="s">
        <v>80</v>
      </c>
      <c r="D2" s="4"/>
      <c r="E2" s="5"/>
    </row>
    <row r="3" spans="1:5">
      <c r="A3" s="6" t="s">
        <v>19</v>
      </c>
      <c r="B3" s="32" t="s">
        <v>30</v>
      </c>
      <c r="C3" s="32" t="s">
        <v>86</v>
      </c>
      <c r="D3" s="4"/>
      <c r="E3" s="4"/>
    </row>
    <row r="4" spans="1:5">
      <c r="A4" s="8" t="s">
        <v>32</v>
      </c>
      <c r="B4" s="9">
        <v>8074</v>
      </c>
      <c r="C4" s="9">
        <v>0</v>
      </c>
      <c r="D4" s="10"/>
      <c r="E4" s="10">
        <f>SUM(B4:C4)</f>
        <v>8074</v>
      </c>
    </row>
    <row r="5" spans="1:5">
      <c r="A5" s="11" t="s">
        <v>33</v>
      </c>
      <c r="B5" s="12">
        <v>0</v>
      </c>
      <c r="C5" s="12">
        <v>0</v>
      </c>
      <c r="D5" s="10"/>
      <c r="E5" s="10">
        <f>SUM(C5:C5)</f>
        <v>0</v>
      </c>
    </row>
    <row r="6" spans="1:5">
      <c r="A6" s="11" t="s">
        <v>34</v>
      </c>
      <c r="B6" s="12">
        <v>0</v>
      </c>
      <c r="C6" s="12">
        <v>0</v>
      </c>
      <c r="D6" s="10"/>
      <c r="E6" s="10">
        <f>SUM(C6:C6)</f>
        <v>0</v>
      </c>
    </row>
    <row r="7" spans="1:5">
      <c r="A7" s="11" t="s">
        <v>35</v>
      </c>
      <c r="B7" s="12">
        <v>0</v>
      </c>
      <c r="C7" s="12">
        <v>0</v>
      </c>
      <c r="D7" s="10"/>
      <c r="E7" s="10">
        <f>SUM(C7:C7)</f>
        <v>0</v>
      </c>
    </row>
    <row r="8" spans="1:5">
      <c r="A8" s="11" t="s">
        <v>36</v>
      </c>
      <c r="B8" s="12">
        <f>B4-B5-B6</f>
        <v>8074</v>
      </c>
      <c r="C8" s="12">
        <f>C4-C5-C6</f>
        <v>0</v>
      </c>
      <c r="D8" s="10"/>
      <c r="E8" s="10">
        <f>SUM(C8:C8)</f>
        <v>0</v>
      </c>
    </row>
    <row r="9" spans="1:5">
      <c r="A9" s="13"/>
      <c r="B9" s="13"/>
      <c r="C9" s="13"/>
      <c r="D9" s="14"/>
      <c r="E9" s="14"/>
    </row>
    <row r="10" spans="1:5">
      <c r="A10" s="11" t="s">
        <v>37</v>
      </c>
      <c r="B10" s="20">
        <v>81</v>
      </c>
      <c r="C10" s="20">
        <v>182</v>
      </c>
      <c r="E10" s="34">
        <f>SUM(B10:C10)</f>
        <v>263</v>
      </c>
    </row>
    <row r="11" spans="1:5">
      <c r="A11" s="11" t="s">
        <v>38</v>
      </c>
      <c r="B11" s="12">
        <f>B4/B10</f>
        <v>99.679012345679013</v>
      </c>
      <c r="C11" s="12">
        <f>C4/C10</f>
        <v>0</v>
      </c>
      <c r="D11" s="10"/>
      <c r="E11" s="10">
        <f>AVERAGE(C11:C11)</f>
        <v>0</v>
      </c>
    </row>
    <row r="12" spans="1:5">
      <c r="A12" s="11" t="s">
        <v>39</v>
      </c>
      <c r="B12" s="12">
        <f>(B4-B5)/B10</f>
        <v>99.679012345679013</v>
      </c>
      <c r="C12" s="12">
        <f>(C4-C5)/C10</f>
        <v>0</v>
      </c>
      <c r="D12" s="10"/>
      <c r="E12" s="10">
        <f>AVERAGE(C12:C12)</f>
        <v>0</v>
      </c>
    </row>
    <row r="13" spans="1:5" ht="30.75">
      <c r="A13" s="15" t="s">
        <v>40</v>
      </c>
      <c r="B13" s="12">
        <f>(B4-B5-B6)/B10</f>
        <v>99.679012345679013</v>
      </c>
      <c r="C13" s="12">
        <f>(C4-C5-C6)/C10</f>
        <v>0</v>
      </c>
      <c r="D13" s="10"/>
      <c r="E13" s="10">
        <f>AVERAGE(C13:C13)</f>
        <v>0</v>
      </c>
    </row>
    <row r="14" spans="1:5">
      <c r="A14" s="13"/>
      <c r="B14" s="13"/>
      <c r="C14" s="13"/>
      <c r="D14" s="14"/>
      <c r="E14" s="14"/>
    </row>
    <row r="15" spans="1:5" ht="30.75">
      <c r="A15" s="15" t="s">
        <v>41</v>
      </c>
      <c r="B15" s="12">
        <f>B11-B13</f>
        <v>0</v>
      </c>
      <c r="C15" s="12">
        <f>C11-C13</f>
        <v>0</v>
      </c>
      <c r="D15" s="10"/>
      <c r="E15" s="10">
        <f>SUM(C15:C15)</f>
        <v>0</v>
      </c>
    </row>
    <row r="16" spans="1:5" ht="30.75">
      <c r="A16" s="46" t="s">
        <v>42</v>
      </c>
      <c r="B16" s="47">
        <f>B12-B13</f>
        <v>0</v>
      </c>
      <c r="C16" s="47">
        <f>C12-C13</f>
        <v>0</v>
      </c>
      <c r="D16" s="10"/>
      <c r="E16" s="10">
        <f>SUM(C16:C16)</f>
        <v>0</v>
      </c>
    </row>
    <row r="17" spans="1:5">
      <c r="A17" s="44" t="s">
        <v>43</v>
      </c>
      <c r="B17" s="45">
        <f>B4/B10</f>
        <v>99.679012345679013</v>
      </c>
      <c r="C17" s="45">
        <f>C4/C10</f>
        <v>0</v>
      </c>
      <c r="D17" s="10"/>
      <c r="E17" s="10">
        <f>E4/E10</f>
        <v>30.699619771863119</v>
      </c>
    </row>
    <row r="18" spans="1:5">
      <c r="E18" s="10"/>
    </row>
    <row r="19" spans="1:5">
      <c r="A19" s="22" t="s">
        <v>44</v>
      </c>
      <c r="B19" s="22" t="s">
        <v>13</v>
      </c>
      <c r="C19" s="22" t="s">
        <v>74</v>
      </c>
      <c r="E19" s="2"/>
    </row>
    <row r="20" spans="1:5" ht="99.75" customHeight="1">
      <c r="A20" s="23" t="s">
        <v>16</v>
      </c>
      <c r="B20" s="24" t="s">
        <v>17</v>
      </c>
      <c r="C20" s="24" t="s">
        <v>80</v>
      </c>
      <c r="E20" s="5"/>
    </row>
    <row r="21" spans="1:5">
      <c r="A21" s="25" t="s">
        <v>19</v>
      </c>
      <c r="B21" s="33" t="s">
        <v>30</v>
      </c>
      <c r="C21" s="33" t="s">
        <v>86</v>
      </c>
      <c r="E21" s="7"/>
    </row>
    <row r="22" spans="1:5">
      <c r="A22" s="26" t="s">
        <v>45</v>
      </c>
      <c r="B22" s="27">
        <v>95423.43</v>
      </c>
      <c r="C22" s="27">
        <v>88443.839999999997</v>
      </c>
      <c r="D22" s="16"/>
      <c r="E22" s="16">
        <f>SUM(B22:C22)</f>
        <v>183867.27</v>
      </c>
    </row>
    <row r="23" spans="1:5">
      <c r="A23" s="28" t="s">
        <v>46</v>
      </c>
      <c r="B23" s="29">
        <v>0.1313</v>
      </c>
      <c r="C23" s="29">
        <v>0.161</v>
      </c>
      <c r="D23" s="18"/>
      <c r="E23" s="18">
        <f>AVERAGE(B23:C23)</f>
        <v>0.14615</v>
      </c>
    </row>
    <row r="24" spans="1:5">
      <c r="A24" s="30" t="s">
        <v>47</v>
      </c>
      <c r="B24" s="55">
        <v>1352</v>
      </c>
      <c r="C24" s="55">
        <v>950</v>
      </c>
      <c r="E24" s="21">
        <f>SUM(B24:C24)</f>
        <v>2302</v>
      </c>
    </row>
    <row r="25" spans="1:5">
      <c r="A25" s="41" t="s">
        <v>48</v>
      </c>
      <c r="B25" s="56">
        <v>9463.99</v>
      </c>
      <c r="C25" s="56">
        <v>9763.14</v>
      </c>
      <c r="E25" s="16">
        <f>SUM(B25:C25)</f>
        <v>19227.129999999997</v>
      </c>
    </row>
    <row r="26" spans="1:5">
      <c r="A26" s="35" t="s">
        <v>43</v>
      </c>
      <c r="B26" s="57">
        <f>B22/B24</f>
        <v>70.579460059171595</v>
      </c>
      <c r="C26" s="57">
        <f>C22/C24</f>
        <v>93.098778947368416</v>
      </c>
      <c r="E26" s="39">
        <f>E22/E24</f>
        <v>79.872836663770627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6515-DFEC-4E5B-AE87-6E27508EE714}">
  <dimension ref="A1:D26"/>
  <sheetViews>
    <sheetView workbookViewId="0">
      <pane xSplit="1" topLeftCell="B1" activePane="topRight" state="frozen"/>
      <selection pane="topRight" activeCell="B11" sqref="B11"/>
    </sheetView>
  </sheetViews>
  <sheetFormatPr defaultRowHeight="15"/>
  <cols>
    <col min="1" max="1" width="30.7109375" customWidth="1"/>
    <col min="2" max="2" width="15.7109375" customWidth="1"/>
    <col min="3" max="3" width="12.85546875" customWidth="1"/>
    <col min="4" max="4" width="15.85546875" customWidth="1"/>
  </cols>
  <sheetData>
    <row r="1" spans="1:4">
      <c r="A1" s="1" t="s">
        <v>1</v>
      </c>
      <c r="B1" s="1" t="s">
        <v>12</v>
      </c>
      <c r="C1" s="2"/>
      <c r="D1" s="2" t="s">
        <v>15</v>
      </c>
    </row>
    <row r="2" spans="1:4" ht="90.75" customHeight="1">
      <c r="A2" s="3" t="s">
        <v>16</v>
      </c>
      <c r="B2" s="17" t="s">
        <v>17</v>
      </c>
      <c r="C2" s="4"/>
      <c r="D2" s="5"/>
    </row>
    <row r="3" spans="1:4">
      <c r="A3" s="6" t="s">
        <v>19</v>
      </c>
      <c r="B3" s="32" t="s">
        <v>29</v>
      </c>
      <c r="C3" s="4"/>
      <c r="D3" s="4"/>
    </row>
    <row r="4" spans="1:4">
      <c r="A4" s="8" t="s">
        <v>32</v>
      </c>
      <c r="B4" s="9">
        <v>0</v>
      </c>
      <c r="C4" s="10"/>
      <c r="D4" s="10">
        <f>SUM(B4:B4)</f>
        <v>0</v>
      </c>
    </row>
    <row r="5" spans="1:4">
      <c r="A5" s="11" t="s">
        <v>33</v>
      </c>
      <c r="B5" s="12">
        <v>0</v>
      </c>
      <c r="C5" s="10"/>
      <c r="D5" s="10">
        <f>SUM(B5:B5)</f>
        <v>0</v>
      </c>
    </row>
    <row r="6" spans="1:4">
      <c r="A6" s="11" t="s">
        <v>34</v>
      </c>
      <c r="B6" s="12">
        <v>0</v>
      </c>
      <c r="C6" s="10"/>
      <c r="D6" s="10">
        <f>SUM(B6:B6)</f>
        <v>0</v>
      </c>
    </row>
    <row r="7" spans="1:4">
      <c r="A7" s="11" t="s">
        <v>35</v>
      </c>
      <c r="B7" s="12">
        <v>0</v>
      </c>
      <c r="C7" s="10"/>
      <c r="D7" s="10">
        <f>SUM(B7:B7)</f>
        <v>0</v>
      </c>
    </row>
    <row r="8" spans="1:4">
      <c r="A8" s="11" t="s">
        <v>36</v>
      </c>
      <c r="B8" s="12">
        <f>B4-B5-B6</f>
        <v>0</v>
      </c>
      <c r="C8" s="10"/>
      <c r="D8" s="10">
        <f>SUM(B8:B8)</f>
        <v>0</v>
      </c>
    </row>
    <row r="9" spans="1:4">
      <c r="A9" s="13"/>
      <c r="B9" s="13"/>
      <c r="C9" s="14"/>
      <c r="D9" s="14"/>
    </row>
    <row r="10" spans="1:4">
      <c r="A10" s="11" t="s">
        <v>37</v>
      </c>
      <c r="B10" s="20">
        <v>33</v>
      </c>
      <c r="D10" s="34">
        <f>SUM(B10:B10)</f>
        <v>33</v>
      </c>
    </row>
    <row r="11" spans="1:4">
      <c r="A11" s="11" t="s">
        <v>38</v>
      </c>
      <c r="B11" s="12">
        <f>B4/B10</f>
        <v>0</v>
      </c>
      <c r="C11" s="10"/>
      <c r="D11" s="10">
        <f>AVERAGE(B11:B11)</f>
        <v>0</v>
      </c>
    </row>
    <row r="12" spans="1:4">
      <c r="A12" s="11" t="s">
        <v>39</v>
      </c>
      <c r="B12" s="12">
        <f>(B4-B5)/B10</f>
        <v>0</v>
      </c>
      <c r="C12" s="10"/>
      <c r="D12" s="10">
        <f>AVERAGE(B12:B12)</f>
        <v>0</v>
      </c>
    </row>
    <row r="13" spans="1:4" ht="30.75">
      <c r="A13" s="15" t="s">
        <v>40</v>
      </c>
      <c r="B13" s="12">
        <f>(B4-B5-B6)/B10</f>
        <v>0</v>
      </c>
      <c r="C13" s="10"/>
      <c r="D13" s="10">
        <f>AVERAGE(B13:B13)</f>
        <v>0</v>
      </c>
    </row>
    <row r="14" spans="1:4">
      <c r="A14" s="13"/>
      <c r="B14" s="13"/>
      <c r="C14" s="14"/>
      <c r="D14" s="14"/>
    </row>
    <row r="15" spans="1:4" ht="30.75">
      <c r="A15" s="15" t="s">
        <v>41</v>
      </c>
      <c r="B15" s="12">
        <f>B11-B13</f>
        <v>0</v>
      </c>
      <c r="C15" s="10"/>
      <c r="D15" s="10">
        <f>SUM(B15:B15)</f>
        <v>0</v>
      </c>
    </row>
    <row r="16" spans="1:4" ht="30.75">
      <c r="A16" s="46" t="s">
        <v>42</v>
      </c>
      <c r="B16" s="47">
        <f>B12-B13</f>
        <v>0</v>
      </c>
      <c r="C16" s="10"/>
      <c r="D16" s="10">
        <f>SUM(B16:B16)</f>
        <v>0</v>
      </c>
    </row>
    <row r="17" spans="1:4">
      <c r="A17" s="44" t="s">
        <v>43</v>
      </c>
      <c r="B17" s="45">
        <f>B4/B10</f>
        <v>0</v>
      </c>
      <c r="C17" s="10"/>
      <c r="D17" s="10">
        <f>D4/D10</f>
        <v>0</v>
      </c>
    </row>
    <row r="18" spans="1:4">
      <c r="D18" s="10"/>
    </row>
    <row r="19" spans="1:4">
      <c r="A19" s="22" t="s">
        <v>44</v>
      </c>
      <c r="B19" s="22" t="s">
        <v>12</v>
      </c>
      <c r="D19" s="2"/>
    </row>
    <row r="20" spans="1:4" ht="99.75" customHeight="1">
      <c r="A20" s="23" t="s">
        <v>16</v>
      </c>
      <c r="B20" s="24" t="s">
        <v>17</v>
      </c>
      <c r="D20" s="5"/>
    </row>
    <row r="21" spans="1:4">
      <c r="A21" s="25" t="s">
        <v>19</v>
      </c>
      <c r="B21" s="33" t="s">
        <v>29</v>
      </c>
      <c r="D21" s="7"/>
    </row>
    <row r="22" spans="1:4">
      <c r="A22" s="26" t="s">
        <v>45</v>
      </c>
      <c r="B22" s="27">
        <v>98218.52</v>
      </c>
      <c r="C22" s="16"/>
      <c r="D22" s="16">
        <f>SUM(B22:B22)</f>
        <v>98218.52</v>
      </c>
    </row>
    <row r="23" spans="1:4">
      <c r="A23" s="28" t="s">
        <v>46</v>
      </c>
      <c r="B23" s="29">
        <v>0.14979999999999999</v>
      </c>
      <c r="C23" s="18"/>
      <c r="D23" s="18">
        <f>AVERAGE(B23:B23)</f>
        <v>0.14979999999999999</v>
      </c>
    </row>
    <row r="24" spans="1:4">
      <c r="A24" s="30" t="s">
        <v>47</v>
      </c>
      <c r="B24" s="55">
        <v>1487</v>
      </c>
      <c r="D24" s="21">
        <f>SUM(B24:B24)</f>
        <v>1487</v>
      </c>
    </row>
    <row r="25" spans="1:4">
      <c r="A25" s="41" t="s">
        <v>48</v>
      </c>
      <c r="B25" s="56">
        <v>10406.98</v>
      </c>
      <c r="D25" s="16">
        <f>SUM(B25:B25)</f>
        <v>10406.98</v>
      </c>
    </row>
    <row r="26" spans="1:4">
      <c r="A26" s="35" t="s">
        <v>43</v>
      </c>
      <c r="B26" s="57">
        <f>B22/B24</f>
        <v>66.051459314055151</v>
      </c>
      <c r="D26" s="39">
        <f>D22/D24</f>
        <v>66.051459314055151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1BD9-4700-49A2-ADF9-D703D3ACDF50}">
  <dimension ref="A1:I26"/>
  <sheetViews>
    <sheetView workbookViewId="0">
      <pane xSplit="1" topLeftCell="D1" activePane="topRight" state="frozen"/>
      <selection pane="topRight" activeCell="D1" sqref="D1:D1048576"/>
    </sheetView>
  </sheetViews>
  <sheetFormatPr defaultRowHeight="15"/>
  <cols>
    <col min="1" max="1" width="30.7109375" customWidth="1"/>
    <col min="2" max="2" width="20" customWidth="1"/>
    <col min="3" max="3" width="15.7109375" customWidth="1"/>
    <col min="4" max="7" width="19.5703125" customWidth="1"/>
    <col min="8" max="8" width="12.85546875" customWidth="1"/>
    <col min="9" max="9" width="15.85546875" customWidth="1"/>
  </cols>
  <sheetData>
    <row r="1" spans="1:9">
      <c r="A1" s="1" t="s">
        <v>1</v>
      </c>
      <c r="B1" s="1" t="s">
        <v>98</v>
      </c>
      <c r="C1" s="1" t="s">
        <v>11</v>
      </c>
      <c r="D1" s="1" t="s">
        <v>55</v>
      </c>
      <c r="E1" s="1" t="s">
        <v>99</v>
      </c>
      <c r="F1" s="1" t="s">
        <v>100</v>
      </c>
      <c r="G1" s="1" t="s">
        <v>101</v>
      </c>
      <c r="H1" s="2"/>
      <c r="I1" s="2" t="s">
        <v>15</v>
      </c>
    </row>
    <row r="2" spans="1:9" ht="90.75" customHeight="1">
      <c r="A2" s="3" t="s">
        <v>16</v>
      </c>
      <c r="B2" s="17" t="s">
        <v>102</v>
      </c>
      <c r="C2" s="17" t="s">
        <v>17</v>
      </c>
      <c r="D2" s="17" t="s">
        <v>61</v>
      </c>
      <c r="E2" s="17" t="s">
        <v>103</v>
      </c>
      <c r="F2" s="17" t="s">
        <v>104</v>
      </c>
      <c r="G2" s="17" t="s">
        <v>105</v>
      </c>
      <c r="H2" s="4"/>
      <c r="I2" s="5"/>
    </row>
    <row r="3" spans="1:9">
      <c r="A3" s="6" t="s">
        <v>19</v>
      </c>
      <c r="B3" s="32" t="s">
        <v>106</v>
      </c>
      <c r="C3" s="32" t="s">
        <v>28</v>
      </c>
      <c r="D3" s="32" t="s">
        <v>66</v>
      </c>
      <c r="E3" s="32" t="s">
        <v>107</v>
      </c>
      <c r="F3" s="32" t="s">
        <v>107</v>
      </c>
      <c r="G3" s="32" t="s">
        <v>107</v>
      </c>
      <c r="H3" s="4"/>
      <c r="I3" s="4"/>
    </row>
    <row r="4" spans="1:9">
      <c r="A4" s="8" t="s">
        <v>32</v>
      </c>
      <c r="B4" s="9">
        <v>0</v>
      </c>
      <c r="C4" s="9">
        <v>10128.76</v>
      </c>
      <c r="D4" s="9">
        <v>225.88</v>
      </c>
      <c r="E4" s="9">
        <v>0</v>
      </c>
      <c r="F4" s="9">
        <v>0</v>
      </c>
      <c r="G4" s="9">
        <v>0</v>
      </c>
      <c r="H4" s="10"/>
      <c r="I4" s="10">
        <f>SUM(B4:G4)</f>
        <v>10354.64</v>
      </c>
    </row>
    <row r="5" spans="1:9">
      <c r="A5" s="11" t="s">
        <v>33</v>
      </c>
      <c r="B5" s="12">
        <v>0</v>
      </c>
      <c r="C5" s="12">
        <v>382.3</v>
      </c>
      <c r="D5" s="12">
        <v>16</v>
      </c>
      <c r="E5" s="12">
        <v>0</v>
      </c>
      <c r="F5" s="12">
        <v>0</v>
      </c>
      <c r="G5" s="12">
        <v>0</v>
      </c>
      <c r="H5" s="10"/>
      <c r="I5" s="10">
        <f t="shared" ref="I5:I8" si="0">SUM(B5:G5)</f>
        <v>398.3</v>
      </c>
    </row>
    <row r="6" spans="1:9">
      <c r="A6" s="11" t="s">
        <v>34</v>
      </c>
      <c r="B6" s="12">
        <v>0</v>
      </c>
      <c r="C6" s="12">
        <v>1560.86</v>
      </c>
      <c r="D6" s="12">
        <v>80.959999999999994</v>
      </c>
      <c r="E6" s="12">
        <v>0</v>
      </c>
      <c r="F6" s="12">
        <v>0</v>
      </c>
      <c r="G6" s="12">
        <v>0</v>
      </c>
      <c r="H6" s="10"/>
      <c r="I6" s="10">
        <f t="shared" si="0"/>
        <v>1641.82</v>
      </c>
    </row>
    <row r="7" spans="1:9">
      <c r="A7" s="11" t="s">
        <v>35</v>
      </c>
      <c r="B7" s="12">
        <v>0</v>
      </c>
      <c r="C7" s="12">
        <v>812</v>
      </c>
      <c r="D7" s="12">
        <v>16</v>
      </c>
      <c r="E7" s="12">
        <v>0</v>
      </c>
      <c r="F7" s="12">
        <v>0</v>
      </c>
      <c r="G7" s="12">
        <v>0</v>
      </c>
      <c r="H7" s="10"/>
      <c r="I7" s="10">
        <f t="shared" si="0"/>
        <v>828</v>
      </c>
    </row>
    <row r="8" spans="1:9">
      <c r="A8" s="11" t="s">
        <v>36</v>
      </c>
      <c r="B8" s="12">
        <f>B4-B5-B6</f>
        <v>0</v>
      </c>
      <c r="C8" s="12">
        <f>C4-C5-C6</f>
        <v>8185.6000000000013</v>
      </c>
      <c r="D8" s="12">
        <f>D4-D5-D6</f>
        <v>128.92000000000002</v>
      </c>
      <c r="E8" s="12">
        <f>E4-E5-E6</f>
        <v>0</v>
      </c>
      <c r="F8" s="12">
        <f>F4-F5-F6</f>
        <v>0</v>
      </c>
      <c r="G8" s="12">
        <f>G4-G5-G6</f>
        <v>0</v>
      </c>
      <c r="H8" s="10"/>
      <c r="I8" s="10">
        <f t="shared" si="0"/>
        <v>8314.52</v>
      </c>
    </row>
    <row r="9" spans="1:9">
      <c r="A9" s="13"/>
      <c r="B9" s="13"/>
      <c r="C9" s="13"/>
      <c r="D9" s="13"/>
      <c r="E9" s="13"/>
      <c r="F9" s="13"/>
      <c r="G9" s="13"/>
      <c r="H9" s="14"/>
      <c r="I9" s="14"/>
    </row>
    <row r="10" spans="1:9">
      <c r="A10" s="11" t="s">
        <v>37</v>
      </c>
      <c r="B10" s="20">
        <v>0</v>
      </c>
      <c r="C10" s="20">
        <v>116</v>
      </c>
      <c r="D10" s="20">
        <v>4</v>
      </c>
      <c r="E10" s="20">
        <v>0</v>
      </c>
      <c r="F10" s="20">
        <v>0</v>
      </c>
      <c r="G10" s="20">
        <v>0</v>
      </c>
      <c r="I10" s="34">
        <f>SUM(B10:G10)</f>
        <v>120</v>
      </c>
    </row>
    <row r="11" spans="1:9">
      <c r="A11" s="11" t="s">
        <v>38</v>
      </c>
      <c r="B11" s="12">
        <v>0</v>
      </c>
      <c r="C11" s="12">
        <f>C4/C10</f>
        <v>87.316896551724142</v>
      </c>
      <c r="D11" s="12">
        <f>D4/D10</f>
        <v>56.47</v>
      </c>
      <c r="E11" s="12">
        <v>0</v>
      </c>
      <c r="F11" s="12">
        <v>0</v>
      </c>
      <c r="G11" s="12">
        <v>0</v>
      </c>
      <c r="H11" s="10"/>
      <c r="I11" s="10">
        <f>AVERAGE(B11:G11)</f>
        <v>23.96448275862069</v>
      </c>
    </row>
    <row r="12" spans="1:9">
      <c r="A12" s="11" t="s">
        <v>39</v>
      </c>
      <c r="B12" s="12">
        <v>0</v>
      </c>
      <c r="C12" s="12">
        <f>(C4-C5)/C10</f>
        <v>84.021206896551732</v>
      </c>
      <c r="D12" s="12">
        <f>(D4-D5)/D10</f>
        <v>52.47</v>
      </c>
      <c r="E12" s="12">
        <v>0</v>
      </c>
      <c r="F12" s="12">
        <v>0</v>
      </c>
      <c r="G12" s="12">
        <v>0</v>
      </c>
      <c r="H12" s="10"/>
      <c r="I12" s="10">
        <f>AVERAGE(B12:G12)</f>
        <v>22.748534482758618</v>
      </c>
    </row>
    <row r="13" spans="1:9" ht="30.75">
      <c r="A13" s="15" t="s">
        <v>40</v>
      </c>
      <c r="B13" s="12">
        <v>0</v>
      </c>
      <c r="C13" s="12">
        <f>(C4-C5-C6)/C10</f>
        <v>70.565517241379325</v>
      </c>
      <c r="D13" s="12">
        <f>(D4-D5-D6)/D10</f>
        <v>32.230000000000004</v>
      </c>
      <c r="E13" s="12">
        <v>0</v>
      </c>
      <c r="F13" s="12">
        <v>0</v>
      </c>
      <c r="G13" s="12">
        <v>0</v>
      </c>
      <c r="H13" s="10"/>
      <c r="I13" s="10">
        <f>AVERAGE(B13:G13)</f>
        <v>17.132586206896555</v>
      </c>
    </row>
    <row r="14" spans="1:9">
      <c r="A14" s="13"/>
      <c r="B14" s="13"/>
      <c r="C14" s="13"/>
      <c r="D14" s="13"/>
      <c r="E14" s="13"/>
      <c r="F14" s="13"/>
      <c r="G14" s="13"/>
      <c r="H14" s="14"/>
      <c r="I14" s="14"/>
    </row>
    <row r="15" spans="1:9" ht="30.75">
      <c r="A15" s="15" t="s">
        <v>41</v>
      </c>
      <c r="B15" s="12">
        <f>B11-B13</f>
        <v>0</v>
      </c>
      <c r="C15" s="12">
        <f>C11-C13</f>
        <v>16.751379310344817</v>
      </c>
      <c r="D15" s="12">
        <f>D11-D13</f>
        <v>24.239999999999995</v>
      </c>
      <c r="E15" s="12">
        <f>E11-E13</f>
        <v>0</v>
      </c>
      <c r="F15" s="12">
        <f>F11-F13</f>
        <v>0</v>
      </c>
      <c r="G15" s="12">
        <f>G11-G13</f>
        <v>0</v>
      </c>
      <c r="H15" s="10"/>
      <c r="I15" s="10">
        <f t="shared" ref="I15:I16" si="1">SUM(B15:G15)</f>
        <v>40.991379310344811</v>
      </c>
    </row>
    <row r="16" spans="1:9" ht="30.75">
      <c r="A16" s="46" t="s">
        <v>42</v>
      </c>
      <c r="B16" s="47">
        <f>B12-B13</f>
        <v>0</v>
      </c>
      <c r="C16" s="47">
        <f>C12-C13</f>
        <v>13.455689655172407</v>
      </c>
      <c r="D16" s="47">
        <f>D12-D13</f>
        <v>20.239999999999995</v>
      </c>
      <c r="E16" s="47">
        <f>E12-E13</f>
        <v>0</v>
      </c>
      <c r="F16" s="47">
        <f>F12-F13</f>
        <v>0</v>
      </c>
      <c r="G16" s="47">
        <f>G12-G13</f>
        <v>0</v>
      </c>
      <c r="H16" s="10"/>
      <c r="I16" s="10">
        <f t="shared" si="1"/>
        <v>33.695689655172401</v>
      </c>
    </row>
    <row r="17" spans="1:9">
      <c r="A17" s="44" t="s">
        <v>43</v>
      </c>
      <c r="B17" s="45">
        <v>0</v>
      </c>
      <c r="C17" s="45">
        <f>C4/C10</f>
        <v>87.316896551724142</v>
      </c>
      <c r="D17" s="45">
        <f t="shared" ref="D17:F17" si="2">D4/D10</f>
        <v>56.47</v>
      </c>
      <c r="E17" s="45">
        <v>0</v>
      </c>
      <c r="F17" s="45">
        <v>0</v>
      </c>
      <c r="G17" s="45">
        <v>0</v>
      </c>
      <c r="H17" s="10"/>
      <c r="I17" s="10">
        <f>I4/I10</f>
        <v>86.288666666666657</v>
      </c>
    </row>
    <row r="18" spans="1:9">
      <c r="I18" s="10"/>
    </row>
    <row r="19" spans="1:9">
      <c r="A19" s="22" t="s">
        <v>44</v>
      </c>
      <c r="B19" s="22" t="s">
        <v>98</v>
      </c>
      <c r="C19" s="22" t="s">
        <v>11</v>
      </c>
      <c r="D19" s="22" t="s">
        <v>55</v>
      </c>
      <c r="E19" s="22" t="s">
        <v>99</v>
      </c>
      <c r="F19" s="22" t="s">
        <v>100</v>
      </c>
      <c r="G19" s="22" t="s">
        <v>101</v>
      </c>
      <c r="I19" s="2"/>
    </row>
    <row r="20" spans="1:9" ht="99.75" customHeight="1">
      <c r="A20" s="23" t="s">
        <v>16</v>
      </c>
      <c r="B20" s="24" t="s">
        <v>102</v>
      </c>
      <c r="C20" s="24" t="s">
        <v>17</v>
      </c>
      <c r="D20" s="24" t="s">
        <v>61</v>
      </c>
      <c r="E20" s="24" t="s">
        <v>103</v>
      </c>
      <c r="F20" s="24" t="s">
        <v>104</v>
      </c>
      <c r="G20" s="24" t="s">
        <v>105</v>
      </c>
      <c r="I20" s="5"/>
    </row>
    <row r="21" spans="1:9">
      <c r="A21" s="25" t="s">
        <v>19</v>
      </c>
      <c r="B21" s="33" t="s">
        <v>106</v>
      </c>
      <c r="C21" s="33" t="s">
        <v>28</v>
      </c>
      <c r="D21" s="33" t="s">
        <v>66</v>
      </c>
      <c r="E21" s="33" t="s">
        <v>107</v>
      </c>
      <c r="F21" s="33" t="s">
        <v>107</v>
      </c>
      <c r="G21" s="33" t="s">
        <v>107</v>
      </c>
      <c r="I21" s="7"/>
    </row>
    <row r="22" spans="1:9">
      <c r="A22" s="26" t="s">
        <v>45</v>
      </c>
      <c r="B22" s="27">
        <v>0</v>
      </c>
      <c r="C22" s="27">
        <v>139626.12</v>
      </c>
      <c r="D22" s="27">
        <v>2758.51</v>
      </c>
      <c r="E22" s="27">
        <v>0</v>
      </c>
      <c r="F22" s="27">
        <v>0</v>
      </c>
      <c r="G22" s="27">
        <v>0</v>
      </c>
      <c r="H22" s="16"/>
      <c r="I22" s="16">
        <f>SUM(B22:G22)</f>
        <v>142384.63</v>
      </c>
    </row>
    <row r="23" spans="1:9">
      <c r="A23" s="28" t="s">
        <v>46</v>
      </c>
      <c r="B23" s="29"/>
      <c r="C23" s="29">
        <v>0.13400000000000001</v>
      </c>
      <c r="D23" s="29">
        <v>0.12280000000000001</v>
      </c>
      <c r="E23" s="29"/>
      <c r="F23" s="29"/>
      <c r="G23" s="29"/>
      <c r="H23" s="18"/>
      <c r="I23" s="18">
        <f>AVERAGE(B23:G23)</f>
        <v>0.12840000000000001</v>
      </c>
    </row>
    <row r="24" spans="1:9">
      <c r="A24" s="30" t="s">
        <v>47</v>
      </c>
      <c r="B24" s="31">
        <v>0</v>
      </c>
      <c r="C24" s="55">
        <v>2140</v>
      </c>
      <c r="D24" s="31">
        <v>37</v>
      </c>
      <c r="E24" s="31">
        <v>0</v>
      </c>
      <c r="F24" s="31">
        <v>0</v>
      </c>
      <c r="G24" s="31">
        <v>0</v>
      </c>
      <c r="I24" s="21">
        <f>SUM(B24:G24)</f>
        <v>2177</v>
      </c>
    </row>
    <row r="25" spans="1:9">
      <c r="A25" s="41" t="s">
        <v>48</v>
      </c>
      <c r="B25" s="43"/>
      <c r="C25" s="56"/>
      <c r="D25" s="43"/>
      <c r="E25" s="43"/>
      <c r="F25" s="43"/>
      <c r="G25" s="43"/>
      <c r="I25" s="16">
        <f>SUM(B25:G25)</f>
        <v>0</v>
      </c>
    </row>
    <row r="26" spans="1:9">
      <c r="A26" s="35" t="s">
        <v>43</v>
      </c>
      <c r="B26" s="40">
        <v>0</v>
      </c>
      <c r="C26" s="57">
        <f>C22/C24</f>
        <v>65.245850467289713</v>
      </c>
      <c r="D26" s="40">
        <f t="shared" ref="D26:F26" si="3">D22/D24</f>
        <v>74.554324324324327</v>
      </c>
      <c r="E26" s="40">
        <v>0</v>
      </c>
      <c r="F26" s="40">
        <v>0</v>
      </c>
      <c r="G26" s="40">
        <v>0</v>
      </c>
      <c r="I26" s="39">
        <f>I22/I24</f>
        <v>65.404056040422603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DCF9-8CB9-49DB-9D70-E2B026EE9ACF}">
  <dimension ref="A1:F26"/>
  <sheetViews>
    <sheetView workbookViewId="0">
      <pane xSplit="1" topLeftCell="B1" activePane="topRight" state="frozen"/>
      <selection pane="topRight" activeCell="C2" sqref="C2"/>
    </sheetView>
  </sheetViews>
  <sheetFormatPr defaultRowHeight="15"/>
  <cols>
    <col min="1" max="1" width="30.7109375" customWidth="1"/>
    <col min="2" max="2" width="15.7109375" customWidth="1"/>
    <col min="3" max="3" width="22.7109375" customWidth="1"/>
    <col min="4" max="4" width="17.28515625" customWidth="1"/>
    <col min="5" max="5" width="12.85546875" customWidth="1"/>
    <col min="6" max="6" width="15.85546875" customWidth="1"/>
  </cols>
  <sheetData>
    <row r="1" spans="1:6">
      <c r="A1" s="1" t="s">
        <v>1</v>
      </c>
      <c r="B1" s="1" t="s">
        <v>10</v>
      </c>
      <c r="C1" s="1" t="s">
        <v>73</v>
      </c>
      <c r="D1" s="1" t="s">
        <v>54</v>
      </c>
      <c r="E1" s="2"/>
      <c r="F1" s="2" t="s">
        <v>15</v>
      </c>
    </row>
    <row r="2" spans="1:6" ht="102" customHeight="1">
      <c r="A2" s="3" t="s">
        <v>16</v>
      </c>
      <c r="B2" s="17" t="s">
        <v>17</v>
      </c>
      <c r="C2" s="17" t="s">
        <v>79</v>
      </c>
      <c r="D2" s="17" t="s">
        <v>60</v>
      </c>
      <c r="E2" s="4"/>
      <c r="F2" s="5"/>
    </row>
    <row r="3" spans="1:6">
      <c r="A3" s="6" t="s">
        <v>19</v>
      </c>
      <c r="B3" s="32" t="s">
        <v>27</v>
      </c>
      <c r="C3" s="32" t="s">
        <v>85</v>
      </c>
      <c r="D3" s="32" t="s">
        <v>65</v>
      </c>
      <c r="E3" s="4"/>
      <c r="F3" s="4"/>
    </row>
    <row r="4" spans="1:6">
      <c r="A4" s="8" t="s">
        <v>32</v>
      </c>
      <c r="B4" s="9">
        <v>8191.03</v>
      </c>
      <c r="C4" s="9">
        <v>13485.58</v>
      </c>
      <c r="D4" s="9">
        <v>255.9</v>
      </c>
      <c r="E4" s="10"/>
      <c r="F4" s="10">
        <f>SUM(D4:D4)</f>
        <v>255.9</v>
      </c>
    </row>
    <row r="5" spans="1:6">
      <c r="A5" s="11" t="s">
        <v>33</v>
      </c>
      <c r="B5" s="12">
        <v>531.46</v>
      </c>
      <c r="C5" s="12">
        <v>840.7</v>
      </c>
      <c r="D5" s="12">
        <v>14</v>
      </c>
      <c r="E5" s="10"/>
      <c r="F5" s="10">
        <f>SUM(D5:D5)</f>
        <v>14</v>
      </c>
    </row>
    <row r="6" spans="1:6">
      <c r="A6" s="11" t="s">
        <v>34</v>
      </c>
      <c r="B6" s="12">
        <v>1350.48</v>
      </c>
      <c r="C6" s="12">
        <v>2033.69</v>
      </c>
      <c r="D6" s="12">
        <v>30.01</v>
      </c>
      <c r="E6" s="10"/>
      <c r="F6" s="10">
        <f>SUM(D6:D6)</f>
        <v>30.01</v>
      </c>
    </row>
    <row r="7" spans="1:6">
      <c r="A7" s="11" t="s">
        <v>35</v>
      </c>
      <c r="B7" s="12">
        <v>588</v>
      </c>
      <c r="C7" s="12">
        <v>1189.79</v>
      </c>
      <c r="D7" s="12">
        <v>30</v>
      </c>
      <c r="E7" s="10"/>
      <c r="F7" s="10">
        <f>SUM(D7:D7)</f>
        <v>30</v>
      </c>
    </row>
    <row r="8" spans="1:6">
      <c r="A8" s="11" t="s">
        <v>36</v>
      </c>
      <c r="B8" s="12">
        <f>B4-B5-B6</f>
        <v>6309.09</v>
      </c>
      <c r="C8" s="12">
        <f>C4-C5-C6</f>
        <v>10611.189999999999</v>
      </c>
      <c r="D8" s="12">
        <f>D4-D5-D6</f>
        <v>211.89000000000001</v>
      </c>
      <c r="E8" s="10"/>
      <c r="F8" s="10">
        <f>SUM(D8:D8)</f>
        <v>211.89000000000001</v>
      </c>
    </row>
    <row r="9" spans="1:6">
      <c r="A9" s="13"/>
      <c r="B9" s="13"/>
      <c r="C9" s="13"/>
      <c r="D9" s="13"/>
      <c r="E9" s="14"/>
      <c r="F9" s="14"/>
    </row>
    <row r="10" spans="1:6">
      <c r="A10" s="11" t="s">
        <v>37</v>
      </c>
      <c r="B10" s="20">
        <v>84</v>
      </c>
      <c r="C10" s="20">
        <v>121</v>
      </c>
      <c r="D10" s="20">
        <v>6</v>
      </c>
      <c r="F10" s="34">
        <f>SUM(D10:D10)</f>
        <v>6</v>
      </c>
    </row>
    <row r="11" spans="1:6">
      <c r="A11" s="11" t="s">
        <v>38</v>
      </c>
      <c r="B11" s="12">
        <f>B4/B10</f>
        <v>97.5122619047619</v>
      </c>
      <c r="C11" s="12">
        <f>C4/C10</f>
        <v>111.45107438016529</v>
      </c>
      <c r="D11" s="12">
        <f>D4/D10</f>
        <v>42.65</v>
      </c>
      <c r="E11" s="10"/>
      <c r="F11" s="10">
        <f>AVERAGE(D11:D11)</f>
        <v>42.65</v>
      </c>
    </row>
    <row r="12" spans="1:6">
      <c r="A12" s="11" t="s">
        <v>39</v>
      </c>
      <c r="B12" s="12">
        <f>(B4-B5)/B10</f>
        <v>91.185357142857143</v>
      </c>
      <c r="C12" s="12">
        <f>(C4-C5)/C10</f>
        <v>104.50314049586777</v>
      </c>
      <c r="D12" s="12">
        <f>(D4-D5)/D10</f>
        <v>40.31666666666667</v>
      </c>
      <c r="E12" s="10"/>
      <c r="F12" s="10">
        <f>AVERAGE(D12:D12)</f>
        <v>40.31666666666667</v>
      </c>
    </row>
    <row r="13" spans="1:6" ht="30.75">
      <c r="A13" s="15" t="s">
        <v>40</v>
      </c>
      <c r="B13" s="12">
        <f>(B4-B5-B6)/B10</f>
        <v>75.108214285714283</v>
      </c>
      <c r="C13" s="12">
        <f>(C4-C5-C6)/C10</f>
        <v>87.695785123966928</v>
      </c>
      <c r="D13" s="12">
        <f>(D4-D5-D6)/D10</f>
        <v>35.315000000000005</v>
      </c>
      <c r="E13" s="10"/>
      <c r="F13" s="10">
        <f>AVERAGE(D13:D13)</f>
        <v>35.315000000000005</v>
      </c>
    </row>
    <row r="14" spans="1:6">
      <c r="A14" s="13"/>
      <c r="B14" s="13"/>
      <c r="C14" s="13"/>
      <c r="D14" s="13"/>
      <c r="E14" s="14"/>
      <c r="F14" s="14"/>
    </row>
    <row r="15" spans="1:6" ht="30.75">
      <c r="A15" s="15" t="s">
        <v>41</v>
      </c>
      <c r="B15" s="12">
        <f>B11-B13</f>
        <v>22.404047619047617</v>
      </c>
      <c r="C15" s="12">
        <f>C11-C13</f>
        <v>23.755289256198367</v>
      </c>
      <c r="D15" s="12">
        <f>D11-D13</f>
        <v>7.3349999999999937</v>
      </c>
      <c r="E15" s="10"/>
      <c r="F15" s="10">
        <f>SUM(D15:D15)</f>
        <v>7.3349999999999937</v>
      </c>
    </row>
    <row r="16" spans="1:6" ht="30.75">
      <c r="A16" s="46" t="s">
        <v>42</v>
      </c>
      <c r="B16" s="47">
        <f>B12-B13</f>
        <v>16.07714285714286</v>
      </c>
      <c r="C16" s="47">
        <f>C12-C13</f>
        <v>16.80735537190084</v>
      </c>
      <c r="D16" s="47">
        <f>D12-D13</f>
        <v>5.0016666666666652</v>
      </c>
      <c r="E16" s="10"/>
      <c r="F16" s="10">
        <f>SUM(D16:D16)</f>
        <v>5.0016666666666652</v>
      </c>
    </row>
    <row r="17" spans="1:6">
      <c r="A17" s="44" t="s">
        <v>43</v>
      </c>
      <c r="B17" s="45">
        <f>B4/B10</f>
        <v>97.5122619047619</v>
      </c>
      <c r="C17" s="45">
        <f t="shared" ref="C17:D17" si="0">C4/C10</f>
        <v>111.45107438016529</v>
      </c>
      <c r="D17" s="45">
        <f t="shared" si="0"/>
        <v>42.65</v>
      </c>
      <c r="E17" s="10"/>
      <c r="F17" s="10">
        <f>F4/F10</f>
        <v>42.65</v>
      </c>
    </row>
    <row r="18" spans="1:6">
      <c r="F18" s="10"/>
    </row>
    <row r="19" spans="1:6">
      <c r="A19" s="22" t="s">
        <v>44</v>
      </c>
      <c r="B19" s="22" t="s">
        <v>10</v>
      </c>
      <c r="C19" s="22" t="s">
        <v>73</v>
      </c>
      <c r="D19" s="22" t="s">
        <v>54</v>
      </c>
      <c r="F19" s="2"/>
    </row>
    <row r="20" spans="1:6" ht="99.75" customHeight="1">
      <c r="A20" s="23" t="s">
        <v>16</v>
      </c>
      <c r="B20" s="24" t="s">
        <v>17</v>
      </c>
      <c r="C20" s="24" t="s">
        <v>79</v>
      </c>
      <c r="D20" s="24" t="s">
        <v>60</v>
      </c>
      <c r="F20" s="5"/>
    </row>
    <row r="21" spans="1:6">
      <c r="A21" s="25" t="s">
        <v>19</v>
      </c>
      <c r="B21" s="33" t="s">
        <v>27</v>
      </c>
      <c r="C21" s="33" t="s">
        <v>85</v>
      </c>
      <c r="D21" s="33" t="s">
        <v>65</v>
      </c>
      <c r="F21" s="7"/>
    </row>
    <row r="22" spans="1:6">
      <c r="A22" s="26" t="s">
        <v>45</v>
      </c>
      <c r="B22" s="27">
        <v>127389.03</v>
      </c>
      <c r="C22" s="27">
        <v>79738.58</v>
      </c>
      <c r="D22" s="27">
        <v>1959.51</v>
      </c>
      <c r="E22" s="16"/>
      <c r="F22" s="16">
        <f>SUM(D22:D22)</f>
        <v>1959.51</v>
      </c>
    </row>
    <row r="23" spans="1:6">
      <c r="A23" s="28" t="s">
        <v>46</v>
      </c>
      <c r="B23" s="29">
        <v>0.1188</v>
      </c>
      <c r="C23" s="29">
        <v>0.1414</v>
      </c>
      <c r="D23" s="29">
        <v>0.16250000000000001</v>
      </c>
      <c r="E23" s="18"/>
      <c r="F23" s="18">
        <f>AVERAGE(D23:D23)</f>
        <v>0.16250000000000001</v>
      </c>
    </row>
    <row r="24" spans="1:6">
      <c r="A24" s="30" t="s">
        <v>47</v>
      </c>
      <c r="B24" s="53">
        <v>1928</v>
      </c>
      <c r="C24" s="31">
        <v>911</v>
      </c>
      <c r="D24" s="31">
        <v>33</v>
      </c>
      <c r="F24" s="21">
        <f>SUM(D24:D24)</f>
        <v>33</v>
      </c>
    </row>
    <row r="25" spans="1:6">
      <c r="A25" s="41" t="s">
        <v>48</v>
      </c>
      <c r="B25" s="52">
        <v>13496</v>
      </c>
      <c r="C25" s="42">
        <v>8882.89</v>
      </c>
      <c r="D25" s="43">
        <v>165</v>
      </c>
      <c r="F25" s="36">
        <f>SUM(D25:D25)</f>
        <v>165</v>
      </c>
    </row>
    <row r="26" spans="1:6">
      <c r="A26" s="35" t="s">
        <v>43</v>
      </c>
      <c r="B26" s="54">
        <f>B22/B24</f>
        <v>66.073148340248963</v>
      </c>
      <c r="C26" s="40">
        <f t="shared" ref="C26:D26" si="1">C22/C24</f>
        <v>87.528627881448955</v>
      </c>
      <c r="D26" s="40">
        <f t="shared" si="1"/>
        <v>59.379090909090905</v>
      </c>
      <c r="F26" s="39">
        <f>F22/F24</f>
        <v>59.379090909090905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AFD8-7136-4377-A5B3-0F134C6808E5}">
  <dimension ref="A1:D26"/>
  <sheetViews>
    <sheetView workbookViewId="0">
      <pane xSplit="1" topLeftCell="B3" activePane="topRight" state="frozen"/>
      <selection pane="topRight" activeCell="B4" sqref="B4"/>
    </sheetView>
  </sheetViews>
  <sheetFormatPr defaultRowHeight="15"/>
  <cols>
    <col min="1" max="1" width="30.7109375" customWidth="1"/>
    <col min="2" max="2" width="20.7109375" customWidth="1"/>
    <col min="3" max="3" width="12.85546875" customWidth="1"/>
    <col min="4" max="4" width="15.85546875" customWidth="1"/>
  </cols>
  <sheetData>
    <row r="1" spans="1:4">
      <c r="A1" s="1" t="s">
        <v>1</v>
      </c>
      <c r="B1" s="1" t="s">
        <v>9</v>
      </c>
      <c r="C1" s="2"/>
      <c r="D1" s="2" t="s">
        <v>15</v>
      </c>
    </row>
    <row r="2" spans="1:4" ht="118.5" customHeight="1">
      <c r="A2" s="3" t="s">
        <v>16</v>
      </c>
      <c r="B2" s="17" t="s">
        <v>17</v>
      </c>
      <c r="C2" s="4"/>
      <c r="D2" s="5"/>
    </row>
    <row r="3" spans="1:4">
      <c r="A3" s="6" t="s">
        <v>19</v>
      </c>
      <c r="B3" s="32" t="s">
        <v>26</v>
      </c>
      <c r="C3" s="4"/>
      <c r="D3" s="4"/>
    </row>
    <row r="4" spans="1:4">
      <c r="A4" s="8" t="s">
        <v>32</v>
      </c>
      <c r="B4" s="9">
        <v>9743.06</v>
      </c>
      <c r="C4" s="10"/>
      <c r="D4" s="10">
        <f>SUM(B4:B4)</f>
        <v>9743.06</v>
      </c>
    </row>
    <row r="5" spans="1:4">
      <c r="A5" s="11" t="s">
        <v>33</v>
      </c>
      <c r="B5" s="12">
        <v>578.14</v>
      </c>
      <c r="C5" s="10"/>
      <c r="D5" s="10">
        <f>SUM(B5:B5)</f>
        <v>578.14</v>
      </c>
    </row>
    <row r="6" spans="1:4">
      <c r="A6" s="11" t="s">
        <v>34</v>
      </c>
      <c r="B6" s="12">
        <v>1491.9</v>
      </c>
      <c r="C6" s="10"/>
      <c r="D6" s="10">
        <f>SUM(B6:B6)</f>
        <v>1491.9</v>
      </c>
    </row>
    <row r="7" spans="1:4">
      <c r="A7" s="11" t="s">
        <v>35</v>
      </c>
      <c r="B7" s="12">
        <v>742</v>
      </c>
      <c r="C7" s="10"/>
      <c r="D7" s="10">
        <f>SUM(B7:B7)</f>
        <v>742</v>
      </c>
    </row>
    <row r="8" spans="1:4">
      <c r="A8" s="11" t="s">
        <v>36</v>
      </c>
      <c r="B8" s="12">
        <f>B4-B5-B6</f>
        <v>7673.02</v>
      </c>
      <c r="C8" s="10"/>
      <c r="D8" s="10">
        <f>SUM(B8:B8)</f>
        <v>7673.02</v>
      </c>
    </row>
    <row r="9" spans="1:4">
      <c r="A9" s="13"/>
      <c r="B9" s="13"/>
      <c r="C9" s="14"/>
      <c r="D9" s="14"/>
    </row>
    <row r="10" spans="1:4">
      <c r="A10" s="11" t="s">
        <v>37</v>
      </c>
      <c r="B10" s="20">
        <v>106</v>
      </c>
      <c r="D10" s="34">
        <f>SUM(B10:B10)</f>
        <v>106</v>
      </c>
    </row>
    <row r="11" spans="1:4">
      <c r="A11" s="11" t="s">
        <v>38</v>
      </c>
      <c r="B11" s="12">
        <f>B4/B10</f>
        <v>91.915660377358492</v>
      </c>
      <c r="C11" s="10"/>
      <c r="D11" s="10">
        <f>AVERAGE(B11:B11)</f>
        <v>91.915660377358492</v>
      </c>
    </row>
    <row r="12" spans="1:4">
      <c r="A12" s="11" t="s">
        <v>39</v>
      </c>
      <c r="B12" s="12">
        <f>(B4-B5)/B10</f>
        <v>86.461509433962263</v>
      </c>
      <c r="C12" s="10"/>
      <c r="D12" s="10">
        <f>AVERAGE(B12:B12)</f>
        <v>86.461509433962263</v>
      </c>
    </row>
    <row r="13" spans="1:4" ht="30.75">
      <c r="A13" s="15" t="s">
        <v>40</v>
      </c>
      <c r="B13" s="12">
        <f>(B4-B5-B6)/B10</f>
        <v>72.386981132075476</v>
      </c>
      <c r="C13" s="10"/>
      <c r="D13" s="10">
        <f>AVERAGE(B13:B13)</f>
        <v>72.386981132075476</v>
      </c>
    </row>
    <row r="14" spans="1:4">
      <c r="A14" s="13"/>
      <c r="B14" s="13"/>
      <c r="C14" s="14"/>
      <c r="D14" s="14"/>
    </row>
    <row r="15" spans="1:4" ht="30.75">
      <c r="A15" s="15" t="s">
        <v>41</v>
      </c>
      <c r="B15" s="12">
        <f>B11-B13</f>
        <v>19.528679245283016</v>
      </c>
      <c r="C15" s="10"/>
      <c r="D15" s="10">
        <f>SUM(B15:B15)</f>
        <v>19.528679245283016</v>
      </c>
    </row>
    <row r="16" spans="1:4" ht="30.75">
      <c r="A16" s="46" t="s">
        <v>42</v>
      </c>
      <c r="B16" s="47">
        <f>B12-B13</f>
        <v>14.074528301886787</v>
      </c>
      <c r="C16" s="10"/>
      <c r="D16" s="10">
        <f>SUM(B16:B16)</f>
        <v>14.074528301886787</v>
      </c>
    </row>
    <row r="17" spans="1:4">
      <c r="A17" s="44" t="s">
        <v>43</v>
      </c>
      <c r="B17" s="45">
        <f>B4/B10</f>
        <v>91.915660377358492</v>
      </c>
      <c r="C17" s="10"/>
      <c r="D17" s="10">
        <f>D4/D10</f>
        <v>91.915660377358492</v>
      </c>
    </row>
    <row r="18" spans="1:4">
      <c r="D18" s="10"/>
    </row>
    <row r="19" spans="1:4">
      <c r="A19" s="22" t="s">
        <v>44</v>
      </c>
      <c r="B19" s="22" t="s">
        <v>9</v>
      </c>
      <c r="D19" s="2"/>
    </row>
    <row r="20" spans="1:4" ht="60.75">
      <c r="A20" s="23" t="s">
        <v>16</v>
      </c>
      <c r="B20" s="24" t="s">
        <v>17</v>
      </c>
      <c r="D20" s="5"/>
    </row>
    <row r="21" spans="1:4">
      <c r="A21" s="25" t="s">
        <v>19</v>
      </c>
      <c r="B21" s="33" t="s">
        <v>26</v>
      </c>
      <c r="D21" s="7"/>
    </row>
    <row r="22" spans="1:4">
      <c r="A22" s="26" t="s">
        <v>45</v>
      </c>
      <c r="B22" s="27">
        <v>132139.25</v>
      </c>
      <c r="C22" s="16"/>
      <c r="D22" s="16">
        <f>SUM(B22:B22)</f>
        <v>132139.25</v>
      </c>
    </row>
    <row r="23" spans="1:4">
      <c r="A23" s="28" t="s">
        <v>46</v>
      </c>
      <c r="B23" s="29">
        <v>0.1075</v>
      </c>
      <c r="C23" s="18"/>
      <c r="D23" s="18">
        <f>AVERAGE(B23:B23)</f>
        <v>0.1075</v>
      </c>
    </row>
    <row r="24" spans="1:4">
      <c r="A24" s="30" t="s">
        <v>47</v>
      </c>
      <c r="B24" s="31">
        <v>2028</v>
      </c>
      <c r="D24" s="21">
        <f>SUM(B24:B24)</f>
        <v>2028</v>
      </c>
    </row>
    <row r="25" spans="1:4">
      <c r="A25" s="41" t="s">
        <v>48</v>
      </c>
      <c r="B25" s="42">
        <v>14194.98</v>
      </c>
      <c r="D25" s="36">
        <f>SUM(B25:B25)</f>
        <v>14194.98</v>
      </c>
    </row>
    <row r="26" spans="1:4">
      <c r="A26" s="35" t="s">
        <v>43</v>
      </c>
      <c r="B26" s="40">
        <f>B22/B24</f>
        <v>65.157421104536496</v>
      </c>
      <c r="D26" s="39">
        <f>D22/D24</f>
        <v>65.157421104536496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B5BD-AAFC-4213-BA3C-6475433F887C}">
  <dimension ref="A1:G26"/>
  <sheetViews>
    <sheetView workbookViewId="0">
      <pane xSplit="1" topLeftCell="C1" activePane="topRight" state="frozen"/>
      <selection pane="topRight" activeCell="D1" sqref="D1"/>
    </sheetView>
  </sheetViews>
  <sheetFormatPr defaultRowHeight="15"/>
  <cols>
    <col min="1" max="1" width="30.7109375" customWidth="1"/>
    <col min="2" max="2" width="20.7109375" customWidth="1"/>
    <col min="3" max="3" width="23.28515625" customWidth="1"/>
    <col min="4" max="4" width="23.5703125" customWidth="1"/>
    <col min="5" max="5" width="23.42578125" customWidth="1"/>
    <col min="6" max="6" width="21.28515625" customWidth="1"/>
    <col min="7" max="7" width="15.85546875" customWidth="1"/>
  </cols>
  <sheetData>
    <row r="1" spans="1:7">
      <c r="A1" s="1" t="s">
        <v>1</v>
      </c>
      <c r="B1" s="1" t="s">
        <v>8</v>
      </c>
      <c r="C1" s="1" t="s">
        <v>72</v>
      </c>
      <c r="D1" s="1" t="s">
        <v>52</v>
      </c>
      <c r="E1" s="1" t="s">
        <v>53</v>
      </c>
      <c r="F1" s="2"/>
      <c r="G1" s="2" t="s">
        <v>15</v>
      </c>
    </row>
    <row r="2" spans="1:7" ht="118.5" customHeight="1">
      <c r="A2" s="3" t="s">
        <v>16</v>
      </c>
      <c r="B2" s="17" t="s">
        <v>17</v>
      </c>
      <c r="C2" s="17" t="s">
        <v>78</v>
      </c>
      <c r="D2" s="17" t="s">
        <v>58</v>
      </c>
      <c r="E2" s="17" t="s">
        <v>59</v>
      </c>
      <c r="F2" s="4"/>
      <c r="G2" s="5"/>
    </row>
    <row r="3" spans="1:7">
      <c r="A3" s="6" t="s">
        <v>19</v>
      </c>
      <c r="B3" s="32" t="s">
        <v>25</v>
      </c>
      <c r="C3" s="32" t="s">
        <v>84</v>
      </c>
      <c r="D3" s="32" t="s">
        <v>64</v>
      </c>
      <c r="E3" s="32" t="s">
        <v>64</v>
      </c>
      <c r="F3" s="4"/>
      <c r="G3" s="4"/>
    </row>
    <row r="4" spans="1:7">
      <c r="A4" s="8" t="s">
        <v>32</v>
      </c>
      <c r="B4" s="9">
        <v>7974.11</v>
      </c>
      <c r="C4" s="9">
        <v>26860.53</v>
      </c>
      <c r="D4" s="9">
        <v>2735.02</v>
      </c>
      <c r="E4" s="9">
        <v>5040.32</v>
      </c>
      <c r="F4" s="10"/>
      <c r="G4" s="10">
        <f>SUM(B4:E4)</f>
        <v>42609.979999999996</v>
      </c>
    </row>
    <row r="5" spans="1:7">
      <c r="A5" s="11" t="s">
        <v>33</v>
      </c>
      <c r="B5" s="12">
        <v>492.2</v>
      </c>
      <c r="C5" s="12">
        <v>1809.69</v>
      </c>
      <c r="D5" s="12">
        <v>15.3</v>
      </c>
      <c r="E5" s="12">
        <v>57.5</v>
      </c>
      <c r="F5" s="10"/>
      <c r="G5" s="10">
        <f>SUM(B5:E5)</f>
        <v>2374.69</v>
      </c>
    </row>
    <row r="6" spans="1:7">
      <c r="A6" s="11" t="s">
        <v>34</v>
      </c>
      <c r="B6" s="12">
        <v>1448.78</v>
      </c>
      <c r="C6" s="12">
        <v>5281.71</v>
      </c>
      <c r="D6" s="12">
        <v>488</v>
      </c>
      <c r="E6" s="12">
        <v>873.96</v>
      </c>
      <c r="F6" s="10"/>
      <c r="G6" s="10">
        <f>SUM(B6:E6)</f>
        <v>8092.45</v>
      </c>
    </row>
    <row r="7" spans="1:7">
      <c r="A7" s="11" t="s">
        <v>35</v>
      </c>
      <c r="B7" s="12">
        <v>665</v>
      </c>
      <c r="C7" s="12">
        <v>3055.09</v>
      </c>
      <c r="D7" s="12">
        <v>460</v>
      </c>
      <c r="E7" s="12">
        <v>710</v>
      </c>
      <c r="F7" s="10"/>
      <c r="G7" s="10">
        <f>SUM(B7:E7)</f>
        <v>4890.09</v>
      </c>
    </row>
    <row r="8" spans="1:7">
      <c r="A8" s="11" t="s">
        <v>36</v>
      </c>
      <c r="B8" s="12">
        <f>B4-B5-B6</f>
        <v>6033.13</v>
      </c>
      <c r="C8" s="12">
        <f>C4-C5-C6</f>
        <v>19769.13</v>
      </c>
      <c r="D8" s="12">
        <f>D4-D5-D6</f>
        <v>2231.7199999999998</v>
      </c>
      <c r="E8" s="12">
        <f>E4-E5-E6</f>
        <v>4108.8599999999997</v>
      </c>
      <c r="F8" s="10"/>
      <c r="G8" s="10">
        <f>SUM(B8:E8)</f>
        <v>32142.840000000004</v>
      </c>
    </row>
    <row r="9" spans="1:7">
      <c r="A9" s="13"/>
      <c r="B9" s="13"/>
      <c r="C9" s="13"/>
      <c r="D9" s="13"/>
      <c r="E9" s="13"/>
      <c r="F9" s="14"/>
      <c r="G9" s="14"/>
    </row>
    <row r="10" spans="1:7">
      <c r="A10" s="11" t="s">
        <v>37</v>
      </c>
      <c r="B10" s="20">
        <v>95</v>
      </c>
      <c r="C10" s="20">
        <v>251</v>
      </c>
      <c r="D10" s="20">
        <v>21</v>
      </c>
      <c r="E10" s="20">
        <v>66</v>
      </c>
      <c r="G10" s="34">
        <f>SUM(B10:E10)</f>
        <v>433</v>
      </c>
    </row>
    <row r="11" spans="1:7">
      <c r="A11" s="11" t="s">
        <v>38</v>
      </c>
      <c r="B11" s="12">
        <f>B4/B10</f>
        <v>83.938000000000002</v>
      </c>
      <c r="C11" s="12">
        <f>C4/C10</f>
        <v>107.01406374501991</v>
      </c>
      <c r="D11" s="12">
        <f>D4/D10</f>
        <v>130.23904761904762</v>
      </c>
      <c r="E11" s="12">
        <f>E4/E10</f>
        <v>76.36848484848484</v>
      </c>
      <c r="F11" s="10"/>
      <c r="G11" s="10">
        <f>AVERAGE(B11:E11)</f>
        <v>99.389899053138095</v>
      </c>
    </row>
    <row r="12" spans="1:7">
      <c r="A12" s="11" t="s">
        <v>39</v>
      </c>
      <c r="B12" s="12">
        <f>(B4-B5)/B10</f>
        <v>78.756947368421052</v>
      </c>
      <c r="C12" s="12">
        <f>(C4-C5)/C10</f>
        <v>99.804143426294814</v>
      </c>
      <c r="D12" s="12">
        <f>(D4-D5)/D10</f>
        <v>129.51047619047617</v>
      </c>
      <c r="E12" s="12">
        <f>(E4-E5)/E10</f>
        <v>75.49727272727273</v>
      </c>
      <c r="F12" s="10"/>
      <c r="G12" s="10">
        <f>AVERAGE(B12:E12)</f>
        <v>95.892209928116188</v>
      </c>
    </row>
    <row r="13" spans="1:7" ht="30.75">
      <c r="A13" s="15" t="s">
        <v>40</v>
      </c>
      <c r="B13" s="12">
        <f>(B4-B5-B6)/B10</f>
        <v>63.506631578947371</v>
      </c>
      <c r="C13" s="12">
        <f>(C4-C5-C6)/C10</f>
        <v>78.761474103585655</v>
      </c>
      <c r="D13" s="12">
        <f>(D4-D5-D6)/D10</f>
        <v>106.27238095238094</v>
      </c>
      <c r="E13" s="12">
        <f>(E4-E5-E6)/E10</f>
        <v>62.25545454545454</v>
      </c>
      <c r="F13" s="10"/>
      <c r="G13" s="10">
        <f>AVERAGE(B13:E13)</f>
        <v>77.698985295092129</v>
      </c>
    </row>
    <row r="14" spans="1:7">
      <c r="A14" s="13"/>
      <c r="B14" s="13"/>
      <c r="C14" s="13"/>
      <c r="D14" s="13"/>
      <c r="E14" s="13"/>
      <c r="F14" s="14"/>
      <c r="G14" s="14"/>
    </row>
    <row r="15" spans="1:7" ht="30.75">
      <c r="A15" s="15" t="s">
        <v>41</v>
      </c>
      <c r="B15" s="12">
        <f>B11-B13</f>
        <v>20.431368421052632</v>
      </c>
      <c r="C15" s="12">
        <f>C11-C13</f>
        <v>28.252589641434255</v>
      </c>
      <c r="D15" s="12">
        <f>D11-D13</f>
        <v>23.966666666666683</v>
      </c>
      <c r="E15" s="12">
        <f>E11-E13</f>
        <v>14.1130303030303</v>
      </c>
      <c r="F15" s="10"/>
      <c r="G15" s="10">
        <f>SUM(B15:E15)</f>
        <v>86.763655032183877</v>
      </c>
    </row>
    <row r="16" spans="1:7" ht="30.75">
      <c r="A16" s="46" t="s">
        <v>42</v>
      </c>
      <c r="B16" s="47">
        <f>B12-B13</f>
        <v>15.250315789473682</v>
      </c>
      <c r="C16" s="47">
        <f>C12-C13</f>
        <v>21.042669322709159</v>
      </c>
      <c r="D16" s="47">
        <f>D12-D13</f>
        <v>23.238095238095227</v>
      </c>
      <c r="E16" s="47">
        <f>E12-E13</f>
        <v>13.241818181818189</v>
      </c>
      <c r="F16" s="10"/>
      <c r="G16" s="10">
        <f>SUM(B16:E16)</f>
        <v>72.772898532096264</v>
      </c>
    </row>
    <row r="17" spans="1:7">
      <c r="A17" s="44" t="s">
        <v>43</v>
      </c>
      <c r="B17" s="45">
        <f>B4/B10</f>
        <v>83.938000000000002</v>
      </c>
      <c r="C17" s="45">
        <f t="shared" ref="C17" si="0">C4/C10</f>
        <v>107.01406374501991</v>
      </c>
      <c r="D17" s="45">
        <f t="shared" ref="D17" si="1">D4/D10</f>
        <v>130.23904761904762</v>
      </c>
      <c r="E17" s="45">
        <f t="shared" ref="E17" si="2">E4/E10</f>
        <v>76.36848484848484</v>
      </c>
      <c r="F17" s="10"/>
      <c r="G17" s="10">
        <f>G4/G10</f>
        <v>98.406420323325619</v>
      </c>
    </row>
    <row r="18" spans="1:7">
      <c r="G18" s="10"/>
    </row>
    <row r="19" spans="1:7">
      <c r="A19" s="22" t="s">
        <v>44</v>
      </c>
      <c r="B19" s="22" t="s">
        <v>8</v>
      </c>
      <c r="C19" s="22" t="s">
        <v>72</v>
      </c>
      <c r="D19" s="22" t="s">
        <v>52</v>
      </c>
      <c r="E19" s="22" t="s">
        <v>53</v>
      </c>
      <c r="G19" s="2"/>
    </row>
    <row r="20" spans="1:7" ht="91.5">
      <c r="A20" s="23" t="s">
        <v>16</v>
      </c>
      <c r="B20" s="24" t="s">
        <v>17</v>
      </c>
      <c r="C20" s="24" t="s">
        <v>78</v>
      </c>
      <c r="D20" s="24" t="s">
        <v>58</v>
      </c>
      <c r="E20" s="24" t="s">
        <v>59</v>
      </c>
      <c r="G20" s="5"/>
    </row>
    <row r="21" spans="1:7">
      <c r="A21" s="25" t="s">
        <v>19</v>
      </c>
      <c r="B21" s="33" t="s">
        <v>25</v>
      </c>
      <c r="C21" s="33" t="s">
        <v>84</v>
      </c>
      <c r="D21" s="33" t="s">
        <v>64</v>
      </c>
      <c r="E21" s="33" t="s">
        <v>64</v>
      </c>
      <c r="G21" s="7"/>
    </row>
    <row r="22" spans="1:7">
      <c r="A22" s="26" t="s">
        <v>45</v>
      </c>
      <c r="B22" s="27">
        <v>124075.07</v>
      </c>
      <c r="C22" s="27">
        <v>89562.28</v>
      </c>
      <c r="D22" s="27">
        <v>8365.01</v>
      </c>
      <c r="E22" s="27">
        <v>17445.28</v>
      </c>
      <c r="F22" s="16"/>
      <c r="G22" s="16">
        <f>SUM(B22:E22)</f>
        <v>239447.64</v>
      </c>
    </row>
    <row r="23" spans="1:7">
      <c r="A23" s="28" t="s">
        <v>46</v>
      </c>
      <c r="B23" s="29">
        <v>0.1148</v>
      </c>
      <c r="C23" s="29">
        <v>0.1245</v>
      </c>
      <c r="D23" s="29">
        <v>0.11269999999999999</v>
      </c>
      <c r="E23" s="29">
        <v>0.1341</v>
      </c>
      <c r="F23" s="18"/>
      <c r="G23" s="18">
        <f>AVERAGE(B23:E23)</f>
        <v>0.12152499999999999</v>
      </c>
    </row>
    <row r="24" spans="1:7">
      <c r="A24" s="30" t="s">
        <v>47</v>
      </c>
      <c r="B24" s="31">
        <v>1844</v>
      </c>
      <c r="C24" s="31">
        <v>1003</v>
      </c>
      <c r="D24" s="31">
        <v>61</v>
      </c>
      <c r="E24" s="31">
        <v>223</v>
      </c>
      <c r="G24" s="21">
        <f>SUM(B24:E24)</f>
        <v>3131</v>
      </c>
    </row>
    <row r="25" spans="1:7">
      <c r="A25" s="41" t="s">
        <v>48</v>
      </c>
      <c r="B25" s="42">
        <v>12907.75</v>
      </c>
      <c r="C25" s="43">
        <v>10563.32</v>
      </c>
      <c r="D25" s="43">
        <v>1260</v>
      </c>
      <c r="E25" s="43">
        <v>2250</v>
      </c>
      <c r="G25" s="36">
        <f>SUM(B25:E25)</f>
        <v>26981.07</v>
      </c>
    </row>
    <row r="26" spans="1:7">
      <c r="A26" s="35" t="s">
        <v>43</v>
      </c>
      <c r="B26" s="40">
        <f>B22/B24</f>
        <v>67.285829718004337</v>
      </c>
      <c r="C26" s="40">
        <f t="shared" ref="C26" si="3">C22/C24</f>
        <v>89.294396809571282</v>
      </c>
      <c r="D26" s="40">
        <f t="shared" ref="D26" si="4">D22/D24</f>
        <v>137.13131147540983</v>
      </c>
      <c r="E26" s="40">
        <f t="shared" ref="E26" si="5">E22/E24</f>
        <v>78.229955156950666</v>
      </c>
      <c r="G26" s="39">
        <f>G22/G24</f>
        <v>76.476410092622174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B686-CB1E-4200-9071-744C7DCFDD60}">
  <dimension ref="A1:E26"/>
  <sheetViews>
    <sheetView workbookViewId="0">
      <pane xSplit="1" topLeftCell="B1" activePane="topRight" state="frozen"/>
      <selection pane="topRight" activeCell="C25" sqref="C25"/>
    </sheetView>
  </sheetViews>
  <sheetFormatPr defaultRowHeight="15"/>
  <cols>
    <col min="1" max="1" width="30.7109375" customWidth="1"/>
    <col min="2" max="2" width="20.7109375" customWidth="1"/>
    <col min="3" max="3" width="22" customWidth="1"/>
    <col min="4" max="4" width="21.28515625" customWidth="1"/>
    <col min="5" max="5" width="15.85546875" customWidth="1"/>
  </cols>
  <sheetData>
    <row r="1" spans="1:5">
      <c r="A1" s="1" t="s">
        <v>1</v>
      </c>
      <c r="B1" s="1" t="s">
        <v>7</v>
      </c>
      <c r="C1" s="1" t="s">
        <v>108</v>
      </c>
      <c r="D1" s="2"/>
      <c r="E1" s="2" t="s">
        <v>15</v>
      </c>
    </row>
    <row r="2" spans="1:5" ht="60.75">
      <c r="A2" s="3" t="s">
        <v>16</v>
      </c>
      <c r="B2" s="17" t="s">
        <v>17</v>
      </c>
      <c r="C2" s="17" t="s">
        <v>109</v>
      </c>
      <c r="D2" s="4"/>
      <c r="E2" s="5"/>
    </row>
    <row r="3" spans="1:5">
      <c r="A3" s="6" t="s">
        <v>19</v>
      </c>
      <c r="B3" s="32" t="s">
        <v>24</v>
      </c>
      <c r="C3" s="32" t="s">
        <v>110</v>
      </c>
      <c r="D3" s="4"/>
      <c r="E3" s="4"/>
    </row>
    <row r="4" spans="1:5">
      <c r="A4" s="8" t="s">
        <v>32</v>
      </c>
      <c r="B4" s="9">
        <v>7179.91</v>
      </c>
      <c r="C4" s="9">
        <v>0</v>
      </c>
      <c r="D4" s="10"/>
      <c r="E4" s="10">
        <f>SUM(B4:B4)</f>
        <v>7179.91</v>
      </c>
    </row>
    <row r="5" spans="1:5">
      <c r="A5" s="11" t="s">
        <v>33</v>
      </c>
      <c r="B5" s="12">
        <v>508</v>
      </c>
      <c r="C5" s="12">
        <v>0</v>
      </c>
      <c r="D5" s="10"/>
      <c r="E5" s="10">
        <f>SUM(B5:B5)</f>
        <v>508</v>
      </c>
    </row>
    <row r="6" spans="1:5">
      <c r="A6" s="11" t="s">
        <v>34</v>
      </c>
      <c r="B6" s="12">
        <v>1178.97</v>
      </c>
      <c r="C6" s="12">
        <v>0</v>
      </c>
      <c r="D6" s="10"/>
      <c r="E6" s="10">
        <f>SUM(B6:B6)</f>
        <v>1178.97</v>
      </c>
    </row>
    <row r="7" spans="1:5">
      <c r="A7" s="11" t="s">
        <v>35</v>
      </c>
      <c r="B7" s="12">
        <v>511</v>
      </c>
      <c r="C7" s="12">
        <v>0</v>
      </c>
      <c r="D7" s="10"/>
      <c r="E7" s="10">
        <f>SUM(B7:B7)</f>
        <v>511</v>
      </c>
    </row>
    <row r="8" spans="1:5">
      <c r="A8" s="11" t="s">
        <v>36</v>
      </c>
      <c r="B8" s="12">
        <f>B4-B5-B6</f>
        <v>5492.94</v>
      </c>
      <c r="C8" s="12">
        <f>C4-C5-C6</f>
        <v>0</v>
      </c>
      <c r="D8" s="10"/>
      <c r="E8" s="10">
        <f>SUM(B8:B8)</f>
        <v>5492.94</v>
      </c>
    </row>
    <row r="9" spans="1:5">
      <c r="A9" s="13"/>
      <c r="B9" s="13"/>
      <c r="C9" s="13"/>
      <c r="D9" s="14"/>
      <c r="E9" s="14"/>
    </row>
    <row r="10" spans="1:5">
      <c r="A10" s="11" t="s">
        <v>37</v>
      </c>
      <c r="B10" s="20">
        <v>73</v>
      </c>
      <c r="C10" s="20">
        <v>0</v>
      </c>
      <c r="E10" s="34">
        <f>SUM(B10:B10)</f>
        <v>73</v>
      </c>
    </row>
    <row r="11" spans="1:5">
      <c r="A11" s="11" t="s">
        <v>38</v>
      </c>
      <c r="B11" s="12">
        <f>B4/B10</f>
        <v>98.354931506849312</v>
      </c>
      <c r="C11" s="12">
        <v>0</v>
      </c>
      <c r="D11" s="10"/>
      <c r="E11" s="10">
        <f>AVERAGE(B11:B11)</f>
        <v>98.354931506849312</v>
      </c>
    </row>
    <row r="12" spans="1:5">
      <c r="A12" s="11" t="s">
        <v>39</v>
      </c>
      <c r="B12" s="12">
        <f>(B4-B5)/B10</f>
        <v>91.396027397260269</v>
      </c>
      <c r="C12" s="12">
        <v>0</v>
      </c>
      <c r="D12" s="10"/>
      <c r="E12" s="10">
        <f>AVERAGE(B12:B12)</f>
        <v>91.396027397260269</v>
      </c>
    </row>
    <row r="13" spans="1:5" ht="30.75">
      <c r="A13" s="15" t="s">
        <v>40</v>
      </c>
      <c r="B13" s="12">
        <f>(B4-B5-B6)/B10</f>
        <v>75.245753424657522</v>
      </c>
      <c r="C13" s="12">
        <v>0</v>
      </c>
      <c r="D13" s="10"/>
      <c r="E13" s="10">
        <f>AVERAGE(B13:B13)</f>
        <v>75.245753424657522</v>
      </c>
    </row>
    <row r="14" spans="1:5">
      <c r="A14" s="13"/>
      <c r="B14" s="13"/>
      <c r="C14" s="13"/>
      <c r="D14" s="14"/>
      <c r="E14" s="14"/>
    </row>
    <row r="15" spans="1:5" ht="30.75">
      <c r="A15" s="15" t="s">
        <v>41</v>
      </c>
      <c r="B15" s="12">
        <f>B11-B13</f>
        <v>23.109178082191789</v>
      </c>
      <c r="C15" s="12">
        <f>C11-C13</f>
        <v>0</v>
      </c>
      <c r="D15" s="10"/>
      <c r="E15" s="10">
        <f>SUM(B15:B15)</f>
        <v>23.109178082191789</v>
      </c>
    </row>
    <row r="16" spans="1:5" ht="30.75">
      <c r="A16" s="46" t="s">
        <v>42</v>
      </c>
      <c r="B16" s="47">
        <f>B12-B13</f>
        <v>16.150273972602747</v>
      </c>
      <c r="C16" s="47">
        <f>C12-C13</f>
        <v>0</v>
      </c>
      <c r="D16" s="10"/>
      <c r="E16" s="10">
        <f>SUM(B16:B16)</f>
        <v>16.150273972602747</v>
      </c>
    </row>
    <row r="17" spans="1:5">
      <c r="A17" s="44" t="s">
        <v>43</v>
      </c>
      <c r="B17" s="45">
        <f>B4/B10</f>
        <v>98.354931506849312</v>
      </c>
      <c r="C17" s="45">
        <v>0</v>
      </c>
      <c r="D17" s="10"/>
      <c r="E17" s="10">
        <f>E4/E10</f>
        <v>98.354931506849312</v>
      </c>
    </row>
    <row r="18" spans="1:5">
      <c r="E18" s="10"/>
    </row>
    <row r="19" spans="1:5">
      <c r="A19" s="22" t="s">
        <v>44</v>
      </c>
      <c r="B19" s="22" t="s">
        <v>7</v>
      </c>
      <c r="C19" s="22" t="s">
        <v>108</v>
      </c>
      <c r="E19" s="2"/>
    </row>
    <row r="20" spans="1:5" ht="60.75">
      <c r="A20" s="23" t="s">
        <v>16</v>
      </c>
      <c r="B20" s="24" t="s">
        <v>17</v>
      </c>
      <c r="C20" s="24" t="s">
        <v>109</v>
      </c>
      <c r="E20" s="5"/>
    </row>
    <row r="21" spans="1:5">
      <c r="A21" s="25" t="s">
        <v>19</v>
      </c>
      <c r="B21" s="33" t="s">
        <v>24</v>
      </c>
      <c r="C21" s="33" t="s">
        <v>110</v>
      </c>
      <c r="E21" s="7"/>
    </row>
    <row r="22" spans="1:5">
      <c r="A22" s="26" t="s">
        <v>45</v>
      </c>
      <c r="B22" s="27">
        <v>106983.91</v>
      </c>
      <c r="C22" s="27">
        <v>5425.64</v>
      </c>
      <c r="D22" s="16"/>
      <c r="E22" s="16">
        <f>SUM(B22:C22)</f>
        <v>112409.55</v>
      </c>
    </row>
    <row r="23" spans="1:5">
      <c r="A23" s="28" t="s">
        <v>46</v>
      </c>
      <c r="B23" s="29">
        <v>0.13239999999999999</v>
      </c>
      <c r="C23" s="29">
        <v>0.1452</v>
      </c>
      <c r="D23" s="18"/>
      <c r="E23" s="18">
        <f>AVERAGE(B23:C23)</f>
        <v>0.13879999999999998</v>
      </c>
    </row>
    <row r="24" spans="1:5">
      <c r="A24" s="30" t="s">
        <v>47</v>
      </c>
      <c r="B24" s="31">
        <v>1556</v>
      </c>
      <c r="C24" s="31">
        <v>86</v>
      </c>
      <c r="E24" s="21">
        <f>SUM(B24:C24)</f>
        <v>1642</v>
      </c>
    </row>
    <row r="25" spans="1:5">
      <c r="A25" s="41" t="s">
        <v>48</v>
      </c>
      <c r="B25" s="42">
        <v>10892</v>
      </c>
      <c r="C25" s="43">
        <v>542.55999999999995</v>
      </c>
      <c r="E25" s="36">
        <f>SUM(B25:C25)</f>
        <v>11434.56</v>
      </c>
    </row>
    <row r="26" spans="1:5">
      <c r="A26" s="35" t="s">
        <v>43</v>
      </c>
      <c r="B26" s="40">
        <f>B22/B24</f>
        <v>68.755726221079698</v>
      </c>
      <c r="C26" s="40">
        <f t="shared" ref="C26" si="0">C22/C24</f>
        <v>63.088837209302326</v>
      </c>
      <c r="E26" s="39">
        <f>E22/E24</f>
        <v>68.458922046285025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9B6F-6E6A-4FDC-9B1C-E88CC5620725}">
  <dimension ref="A1:G26"/>
  <sheetViews>
    <sheetView workbookViewId="0">
      <pane xSplit="1" topLeftCell="C1" activePane="topRight" state="frozen"/>
      <selection pane="topRight" activeCell="D1" sqref="D1"/>
    </sheetView>
  </sheetViews>
  <sheetFormatPr defaultRowHeight="15"/>
  <cols>
    <col min="1" max="1" width="34.85546875" customWidth="1"/>
    <col min="2" max="2" width="28" customWidth="1"/>
    <col min="3" max="3" width="34.5703125" bestFit="1" customWidth="1"/>
    <col min="4" max="4" width="23.42578125" customWidth="1"/>
    <col min="5" max="5" width="22" customWidth="1"/>
    <col min="6" max="6" width="21.28515625" customWidth="1"/>
    <col min="7" max="7" width="15.85546875" customWidth="1"/>
  </cols>
  <sheetData>
    <row r="1" spans="1:7">
      <c r="A1" s="1" t="s">
        <v>1</v>
      </c>
      <c r="B1" s="1" t="s">
        <v>111</v>
      </c>
      <c r="C1" s="1" t="s">
        <v>6</v>
      </c>
      <c r="D1" s="1" t="s">
        <v>71</v>
      </c>
      <c r="E1" s="2"/>
      <c r="F1" s="2"/>
      <c r="G1" s="2" t="s">
        <v>15</v>
      </c>
    </row>
    <row r="2" spans="1:7" ht="76.5">
      <c r="A2" s="3" t="s">
        <v>16</v>
      </c>
      <c r="B2" s="17" t="s">
        <v>112</v>
      </c>
      <c r="C2" s="17" t="s">
        <v>17</v>
      </c>
      <c r="D2" s="17" t="s">
        <v>77</v>
      </c>
      <c r="E2" s="49"/>
      <c r="F2" s="4"/>
      <c r="G2" s="5"/>
    </row>
    <row r="3" spans="1:7">
      <c r="A3" s="6" t="s">
        <v>19</v>
      </c>
      <c r="B3" s="32" t="s">
        <v>113</v>
      </c>
      <c r="C3" s="32" t="s">
        <v>23</v>
      </c>
      <c r="D3" s="32" t="s">
        <v>83</v>
      </c>
      <c r="E3" s="50"/>
      <c r="F3" s="4"/>
      <c r="G3" s="4"/>
    </row>
    <row r="4" spans="1:7">
      <c r="A4" s="8" t="s">
        <v>32</v>
      </c>
      <c r="B4" s="9">
        <v>315.79000000000002</v>
      </c>
      <c r="C4" s="9">
        <v>10503.26</v>
      </c>
      <c r="D4" s="9">
        <v>27711.37</v>
      </c>
      <c r="E4" s="10"/>
      <c r="F4" s="10"/>
      <c r="G4" s="10">
        <f>SUM(B4:D4)</f>
        <v>38530.42</v>
      </c>
    </row>
    <row r="5" spans="1:7">
      <c r="A5" s="11" t="s">
        <v>33</v>
      </c>
      <c r="B5" s="12">
        <v>28</v>
      </c>
      <c r="C5" s="12">
        <v>604.48</v>
      </c>
      <c r="D5" s="12">
        <v>1641.84</v>
      </c>
      <c r="E5" s="10"/>
      <c r="F5" s="10"/>
      <c r="G5" s="10">
        <f>SUM(B5:D5)</f>
        <v>2274.3199999999997</v>
      </c>
    </row>
    <row r="6" spans="1:7">
      <c r="A6" s="11" t="s">
        <v>34</v>
      </c>
      <c r="B6" s="12">
        <v>59</v>
      </c>
      <c r="C6" s="12">
        <v>1784.84</v>
      </c>
      <c r="D6" s="12">
        <v>4947.95</v>
      </c>
      <c r="E6" s="10"/>
      <c r="F6" s="10"/>
      <c r="G6" s="10">
        <f>SUM(B6:D6)</f>
        <v>6791.79</v>
      </c>
    </row>
    <row r="7" spans="1:7">
      <c r="A7" s="11" t="s">
        <v>35</v>
      </c>
      <c r="B7" s="12">
        <v>30</v>
      </c>
      <c r="C7" s="12">
        <v>672</v>
      </c>
      <c r="D7" s="12">
        <v>2314.58</v>
      </c>
      <c r="E7" s="10"/>
      <c r="F7" s="10"/>
      <c r="G7" s="10">
        <f>SUM(B7:D7)</f>
        <v>3016.58</v>
      </c>
    </row>
    <row r="8" spans="1:7">
      <c r="A8" s="11" t="s">
        <v>36</v>
      </c>
      <c r="B8" s="12">
        <f>B4-B5-B6</f>
        <v>228.79000000000002</v>
      </c>
      <c r="C8" s="12">
        <f>C4-C5-C6</f>
        <v>8113.9400000000005</v>
      </c>
      <c r="D8" s="12">
        <f>D4-D5-D6</f>
        <v>21121.579999999998</v>
      </c>
      <c r="E8" s="10"/>
      <c r="F8" s="10"/>
      <c r="G8" s="10">
        <f>SUM(B8:D8)</f>
        <v>29464.309999999998</v>
      </c>
    </row>
    <row r="9" spans="1:7">
      <c r="A9" s="13"/>
      <c r="B9" s="13"/>
      <c r="C9" s="13"/>
      <c r="D9" s="13"/>
      <c r="E9" s="14"/>
      <c r="F9" s="14"/>
      <c r="G9" s="14"/>
    </row>
    <row r="10" spans="1:7">
      <c r="A10" s="11" t="s">
        <v>37</v>
      </c>
      <c r="B10" s="20">
        <v>3</v>
      </c>
      <c r="C10" s="20">
        <v>96</v>
      </c>
      <c r="D10" s="20">
        <v>242</v>
      </c>
      <c r="E10" s="48"/>
      <c r="G10" s="34">
        <f>SUM(B10:D10)</f>
        <v>341</v>
      </c>
    </row>
    <row r="11" spans="1:7">
      <c r="A11" s="11" t="s">
        <v>38</v>
      </c>
      <c r="B11" s="12">
        <f>B4/B10</f>
        <v>105.26333333333334</v>
      </c>
      <c r="C11" s="12">
        <f>C4/C10</f>
        <v>109.40895833333333</v>
      </c>
      <c r="D11" s="12">
        <f>D4/D10</f>
        <v>114.50979338842974</v>
      </c>
      <c r="E11" s="10"/>
      <c r="F11" s="10"/>
      <c r="G11" s="10">
        <f>AVERAGE(B11:D11)</f>
        <v>109.72736168503214</v>
      </c>
    </row>
    <row r="12" spans="1:7">
      <c r="A12" s="11" t="s">
        <v>39</v>
      </c>
      <c r="B12" s="12">
        <f>(B4-B5)/B10</f>
        <v>95.93</v>
      </c>
      <c r="C12" s="12">
        <f>(C4-C5)/C10</f>
        <v>103.11229166666668</v>
      </c>
      <c r="D12" s="12">
        <f>(D4-D5)/D10</f>
        <v>107.7253305785124</v>
      </c>
      <c r="E12" s="10"/>
      <c r="F12" s="10"/>
      <c r="G12" s="10">
        <f>AVERAGE(B12:D12)</f>
        <v>102.25587408172636</v>
      </c>
    </row>
    <row r="13" spans="1:7" ht="30.75">
      <c r="A13" s="15" t="s">
        <v>40</v>
      </c>
      <c r="B13" s="12">
        <f>(B4-B5-B6)/B10</f>
        <v>76.263333333333335</v>
      </c>
      <c r="C13" s="12">
        <f>(C4-C5-C6)/C10</f>
        <v>84.520208333333343</v>
      </c>
      <c r="D13" s="12">
        <f>(D4-D5-D6)/D10</f>
        <v>87.279256198347099</v>
      </c>
      <c r="E13" s="10"/>
      <c r="F13" s="10"/>
      <c r="G13" s="10">
        <f>AVERAGE(B13:D13)</f>
        <v>82.687599288337921</v>
      </c>
    </row>
    <row r="14" spans="1:7">
      <c r="A14" s="13"/>
      <c r="B14" s="13"/>
      <c r="C14" s="13"/>
      <c r="D14" s="13"/>
      <c r="E14" s="14"/>
      <c r="F14" s="14"/>
      <c r="G14" s="14"/>
    </row>
    <row r="15" spans="1:7" ht="30.75">
      <c r="A15" s="15" t="s">
        <v>41</v>
      </c>
      <c r="B15" s="12">
        <f>B11-B13</f>
        <v>29</v>
      </c>
      <c r="C15" s="12">
        <f>C11-C13</f>
        <v>24.888749999999987</v>
      </c>
      <c r="D15" s="12">
        <f>D11-D13</f>
        <v>27.230537190082643</v>
      </c>
      <c r="E15" s="10"/>
      <c r="F15" s="10"/>
      <c r="G15" s="10">
        <f>SUM(B15:D15)</f>
        <v>81.11928719008263</v>
      </c>
    </row>
    <row r="16" spans="1:7" ht="30.75">
      <c r="A16" s="46" t="s">
        <v>42</v>
      </c>
      <c r="B16" s="47">
        <f>B12-B13</f>
        <v>19.666666666666671</v>
      </c>
      <c r="C16" s="47">
        <f>C12-C13</f>
        <v>18.592083333333335</v>
      </c>
      <c r="D16" s="47">
        <f>D12-D13</f>
        <v>20.4460743801653</v>
      </c>
      <c r="E16" s="10"/>
      <c r="F16" s="10"/>
      <c r="G16" s="10">
        <f>SUM(B16:D16)</f>
        <v>58.704824380165306</v>
      </c>
    </row>
    <row r="17" spans="1:7">
      <c r="A17" s="44" t="s">
        <v>43</v>
      </c>
      <c r="B17" s="45">
        <f t="shared" ref="B17" si="0">B4/B10</f>
        <v>105.26333333333334</v>
      </c>
      <c r="C17" s="45">
        <f>C4/C10</f>
        <v>109.40895833333333</v>
      </c>
      <c r="D17" s="45">
        <f t="shared" ref="D17" si="1">D4/D10</f>
        <v>114.50979338842974</v>
      </c>
      <c r="E17" s="10"/>
      <c r="F17" s="10"/>
      <c r="G17" s="10">
        <f>G4/G10</f>
        <v>112.9924340175953</v>
      </c>
    </row>
    <row r="18" spans="1:7">
      <c r="G18" s="10"/>
    </row>
    <row r="19" spans="1:7">
      <c r="A19" s="22" t="s">
        <v>44</v>
      </c>
      <c r="B19" s="22" t="s">
        <v>111</v>
      </c>
      <c r="C19" s="22" t="s">
        <v>6</v>
      </c>
      <c r="D19" s="22" t="s">
        <v>71</v>
      </c>
      <c r="E19" s="22" t="s">
        <v>114</v>
      </c>
      <c r="G19" s="2"/>
    </row>
    <row r="20" spans="1:7" ht="76.5">
      <c r="A20" s="23" t="s">
        <v>16</v>
      </c>
      <c r="B20" s="24" t="s">
        <v>112</v>
      </c>
      <c r="C20" s="24" t="s">
        <v>17</v>
      </c>
      <c r="D20" s="24" t="s">
        <v>77</v>
      </c>
      <c r="E20" s="24" t="s">
        <v>115</v>
      </c>
      <c r="G20" s="5"/>
    </row>
    <row r="21" spans="1:7">
      <c r="A21" s="25" t="s">
        <v>19</v>
      </c>
      <c r="B21" s="33" t="s">
        <v>113</v>
      </c>
      <c r="C21" s="33" t="s">
        <v>23</v>
      </c>
      <c r="D21" s="33" t="s">
        <v>83</v>
      </c>
      <c r="E21" s="33" t="s">
        <v>116</v>
      </c>
      <c r="G21" s="7"/>
    </row>
    <row r="22" spans="1:7">
      <c r="A22" s="26" t="s">
        <v>45</v>
      </c>
      <c r="B22" s="27">
        <v>3149.94</v>
      </c>
      <c r="C22" s="27">
        <v>126386.78</v>
      </c>
      <c r="D22" s="27">
        <v>106853.12</v>
      </c>
      <c r="E22" s="27">
        <v>42.27</v>
      </c>
      <c r="F22" s="16"/>
      <c r="G22" s="16">
        <f>SUM(B22:E22)</f>
        <v>236432.11</v>
      </c>
    </row>
    <row r="23" spans="1:7">
      <c r="A23" s="28" t="s">
        <v>46</v>
      </c>
      <c r="B23" s="29">
        <v>0.27300000000000002</v>
      </c>
      <c r="C23" s="29">
        <v>0.1265</v>
      </c>
      <c r="D23" s="29">
        <v>0.1384</v>
      </c>
      <c r="E23" s="29">
        <v>0.27229999999999999</v>
      </c>
      <c r="F23" s="18"/>
      <c r="G23" s="18">
        <f>AVERAGE(B23:E23)</f>
        <v>0.20255000000000001</v>
      </c>
    </row>
    <row r="24" spans="1:7">
      <c r="A24" s="30" t="s">
        <v>47</v>
      </c>
      <c r="B24" s="31">
        <v>21</v>
      </c>
      <c r="C24" s="31">
        <v>1863</v>
      </c>
      <c r="D24" s="31">
        <v>1112</v>
      </c>
      <c r="E24" s="31">
        <v>1</v>
      </c>
      <c r="G24" s="21">
        <f>SUM(B24:E24)</f>
        <v>2997</v>
      </c>
    </row>
    <row r="25" spans="1:7">
      <c r="A25" s="41" t="s">
        <v>48</v>
      </c>
      <c r="B25" s="43">
        <v>288.99</v>
      </c>
      <c r="C25" s="42">
        <v>13041</v>
      </c>
      <c r="D25" s="43">
        <v>10563.87</v>
      </c>
      <c r="E25" s="43">
        <v>4.7</v>
      </c>
      <c r="G25" s="36">
        <f>SUM(B25:E25)</f>
        <v>23898.560000000001</v>
      </c>
    </row>
    <row r="26" spans="1:7">
      <c r="A26" s="35" t="s">
        <v>43</v>
      </c>
      <c r="B26" s="40">
        <f t="shared" ref="B26" si="2">B22/B24</f>
        <v>149.99714285714285</v>
      </c>
      <c r="C26" s="40">
        <f>C22/C24</f>
        <v>67.840461621041328</v>
      </c>
      <c r="D26" s="40">
        <f t="shared" ref="D26:E26" si="3">D22/D24</f>
        <v>96.090935251798555</v>
      </c>
      <c r="E26" s="40">
        <f t="shared" si="3"/>
        <v>42.27</v>
      </c>
      <c r="G26" s="39">
        <f>G22/G24</f>
        <v>78.889592926259581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7648-4634-4E3F-AB0D-AFF5BD1FDCF8}">
  <dimension ref="A1:G26"/>
  <sheetViews>
    <sheetView workbookViewId="0">
      <pane xSplit="1" topLeftCell="C14" activePane="topRight" state="frozen"/>
      <selection pane="topRight" activeCell="C28" sqref="C28"/>
    </sheetView>
  </sheetViews>
  <sheetFormatPr defaultRowHeight="15"/>
  <cols>
    <col min="1" max="1" width="30.7109375" customWidth="1"/>
    <col min="2" max="3" width="20.7109375" customWidth="1"/>
    <col min="4" max="4" width="23.42578125" customWidth="1"/>
    <col min="5" max="5" width="22.7109375" customWidth="1"/>
    <col min="6" max="6" width="21.28515625" customWidth="1"/>
    <col min="7" max="7" width="15.85546875" customWidth="1"/>
  </cols>
  <sheetData>
    <row r="1" spans="1:7">
      <c r="A1" s="1" t="s">
        <v>1</v>
      </c>
      <c r="B1" s="1" t="s">
        <v>5</v>
      </c>
      <c r="C1" s="1" t="s">
        <v>51</v>
      </c>
      <c r="D1" s="1" t="s">
        <v>70</v>
      </c>
      <c r="E1" s="1" t="s">
        <v>117</v>
      </c>
      <c r="F1" s="2"/>
      <c r="G1" s="2" t="s">
        <v>15</v>
      </c>
    </row>
    <row r="2" spans="1:7" ht="76.5">
      <c r="A2" s="3" t="s">
        <v>16</v>
      </c>
      <c r="B2" s="17" t="s">
        <v>17</v>
      </c>
      <c r="C2" s="17" t="s">
        <v>57</v>
      </c>
      <c r="D2" s="17" t="s">
        <v>76</v>
      </c>
      <c r="E2" s="17" t="s">
        <v>118</v>
      </c>
      <c r="F2" s="4"/>
      <c r="G2" s="5"/>
    </row>
    <row r="3" spans="1:7">
      <c r="A3" s="6" t="s">
        <v>19</v>
      </c>
      <c r="B3" s="32" t="s">
        <v>22</v>
      </c>
      <c r="C3" s="32" t="s">
        <v>63</v>
      </c>
      <c r="D3" s="32" t="s">
        <v>82</v>
      </c>
      <c r="E3" s="32" t="s">
        <v>82</v>
      </c>
      <c r="F3" s="4"/>
      <c r="G3" s="4"/>
    </row>
    <row r="4" spans="1:7">
      <c r="A4" s="8" t="s">
        <v>32</v>
      </c>
      <c r="B4" s="9">
        <v>12605.29</v>
      </c>
      <c r="C4" s="9">
        <v>187.88</v>
      </c>
      <c r="D4" s="9">
        <v>20393.47</v>
      </c>
      <c r="E4" s="9">
        <v>1147.28</v>
      </c>
      <c r="F4" s="10"/>
      <c r="G4" s="10">
        <f>SUM(B4:E4)</f>
        <v>34333.919999999998</v>
      </c>
    </row>
    <row r="5" spans="1:7">
      <c r="A5" s="11" t="s">
        <v>33</v>
      </c>
      <c r="B5" s="12">
        <v>655</v>
      </c>
      <c r="C5" s="12">
        <v>20</v>
      </c>
      <c r="D5" s="12">
        <v>1299.5</v>
      </c>
      <c r="E5" s="12">
        <v>83</v>
      </c>
      <c r="F5" s="10"/>
      <c r="G5" s="10">
        <f>SUM(B5:E5)</f>
        <v>2057.5</v>
      </c>
    </row>
    <row r="6" spans="1:7">
      <c r="A6" s="11" t="s">
        <v>34</v>
      </c>
      <c r="B6" s="12">
        <v>1540.72</v>
      </c>
      <c r="C6" s="12">
        <v>20</v>
      </c>
      <c r="D6" s="12">
        <v>3286.16</v>
      </c>
      <c r="E6" s="12">
        <v>235.73</v>
      </c>
      <c r="F6" s="10"/>
      <c r="G6" s="10">
        <f>SUM(B6:E6)</f>
        <v>5082.6099999999997</v>
      </c>
    </row>
    <row r="7" spans="1:7">
      <c r="A7" s="11" t="s">
        <v>35</v>
      </c>
      <c r="B7" s="12">
        <v>728</v>
      </c>
      <c r="C7" s="12">
        <v>10</v>
      </c>
      <c r="D7" s="12">
        <v>1781.33</v>
      </c>
      <c r="E7" s="12">
        <v>98.73</v>
      </c>
      <c r="F7" s="10"/>
      <c r="G7" s="10">
        <f>SUM(B7:E7)</f>
        <v>2618.06</v>
      </c>
    </row>
    <row r="8" spans="1:7">
      <c r="A8" s="11" t="s">
        <v>36</v>
      </c>
      <c r="B8" s="12">
        <f>B4-B5-B6</f>
        <v>10409.570000000002</v>
      </c>
      <c r="C8" s="12">
        <f>C4-C5-C6</f>
        <v>147.88</v>
      </c>
      <c r="D8" s="12">
        <f>D4-D5-D6</f>
        <v>15807.810000000001</v>
      </c>
      <c r="E8" s="12">
        <f>E4-E5-E6</f>
        <v>828.55</v>
      </c>
      <c r="F8" s="10"/>
      <c r="G8" s="10">
        <f>SUM(B8:E8)</f>
        <v>27193.81</v>
      </c>
    </row>
    <row r="9" spans="1:7">
      <c r="A9" s="13"/>
      <c r="B9" s="13"/>
      <c r="C9" s="13"/>
      <c r="D9" s="13"/>
      <c r="E9" s="13"/>
      <c r="F9" s="14"/>
      <c r="G9" s="14"/>
    </row>
    <row r="10" spans="1:7">
      <c r="A10" s="11" t="s">
        <v>37</v>
      </c>
      <c r="B10" s="20">
        <v>104</v>
      </c>
      <c r="C10" s="20">
        <v>2</v>
      </c>
      <c r="D10" s="20">
        <v>167</v>
      </c>
      <c r="E10" s="20">
        <v>9</v>
      </c>
      <c r="G10" s="34">
        <f>SUM(B10:E10)</f>
        <v>282</v>
      </c>
    </row>
    <row r="11" spans="1:7">
      <c r="A11" s="11" t="s">
        <v>38</v>
      </c>
      <c r="B11" s="12">
        <f>B4/B10</f>
        <v>121.20471153846155</v>
      </c>
      <c r="C11" s="12">
        <f>C4/C10</f>
        <v>93.94</v>
      </c>
      <c r="D11" s="12">
        <f>D4/D10</f>
        <v>122.11658682634732</v>
      </c>
      <c r="E11" s="12">
        <f>E4/E10</f>
        <v>127.47555555555556</v>
      </c>
      <c r="F11" s="10"/>
      <c r="G11" s="10">
        <f>AVERAGE(B11:E11)</f>
        <v>116.1842134800911</v>
      </c>
    </row>
    <row r="12" spans="1:7">
      <c r="A12" s="11" t="s">
        <v>39</v>
      </c>
      <c r="B12" s="12">
        <f>(B4-B5)/B10</f>
        <v>114.90663461538462</v>
      </c>
      <c r="C12" s="12">
        <f>(C4-C5)/C10</f>
        <v>83.94</v>
      </c>
      <c r="D12" s="12">
        <f>(D4-D5)/D10</f>
        <v>114.33514970059881</v>
      </c>
      <c r="E12" s="12">
        <f>(E4-E5)/E10</f>
        <v>118.25333333333333</v>
      </c>
      <c r="F12" s="10"/>
      <c r="G12" s="10">
        <f>AVERAGE(B12:E12)</f>
        <v>107.8587794123292</v>
      </c>
    </row>
    <row r="13" spans="1:7" ht="30.75">
      <c r="A13" s="15" t="s">
        <v>40</v>
      </c>
      <c r="B13" s="12">
        <f>(B4-B5-B6)/B10</f>
        <v>100.09201923076924</v>
      </c>
      <c r="C13" s="12">
        <f>(C4-C5-C6)/C10</f>
        <v>73.94</v>
      </c>
      <c r="D13" s="12">
        <f>(D4-D5-D6)/D10</f>
        <v>94.657544910179652</v>
      </c>
      <c r="E13" s="12">
        <f>(E4-E5-E6)/E10</f>
        <v>92.061111111111103</v>
      </c>
      <c r="F13" s="10"/>
      <c r="G13" s="10">
        <f>AVERAGE(B13:E13)</f>
        <v>90.187668813014994</v>
      </c>
    </row>
    <row r="14" spans="1:7">
      <c r="A14" s="13"/>
      <c r="B14" s="13"/>
      <c r="C14" s="13"/>
      <c r="D14" s="13"/>
      <c r="E14" s="13"/>
      <c r="F14" s="14"/>
      <c r="G14" s="14"/>
    </row>
    <row r="15" spans="1:7" ht="30.75">
      <c r="A15" s="15" t="s">
        <v>41</v>
      </c>
      <c r="B15" s="12">
        <f>B11-B13</f>
        <v>21.112692307692313</v>
      </c>
      <c r="C15" s="12">
        <f>C11-C13</f>
        <v>20</v>
      </c>
      <c r="D15" s="12">
        <f>D11-D13</f>
        <v>27.459041916167664</v>
      </c>
      <c r="E15" s="12">
        <f>E11-E13</f>
        <v>35.414444444444456</v>
      </c>
      <c r="F15" s="10"/>
      <c r="G15" s="10">
        <f>SUM(B15:E15)</f>
        <v>103.98617866830443</v>
      </c>
    </row>
    <row r="16" spans="1:7" ht="30.75">
      <c r="A16" s="46" t="s">
        <v>42</v>
      </c>
      <c r="B16" s="47">
        <f>B12-B13</f>
        <v>14.814615384615379</v>
      </c>
      <c r="C16" s="47">
        <f>C12-C13</f>
        <v>10</v>
      </c>
      <c r="D16" s="47">
        <f>D12-D13</f>
        <v>19.677604790419153</v>
      </c>
      <c r="E16" s="47">
        <f>E12-E13</f>
        <v>26.192222222222227</v>
      </c>
      <c r="F16" s="10"/>
      <c r="G16" s="10">
        <f>SUM(B16:E16)</f>
        <v>70.68444239725676</v>
      </c>
    </row>
    <row r="17" spans="1:7">
      <c r="A17" s="44" t="s">
        <v>43</v>
      </c>
      <c r="B17" s="45">
        <f>B4/B10</f>
        <v>121.20471153846155</v>
      </c>
      <c r="C17" s="45">
        <f t="shared" ref="C17:E17" si="0">C4/C10</f>
        <v>93.94</v>
      </c>
      <c r="D17" s="45">
        <f t="shared" si="0"/>
        <v>122.11658682634732</v>
      </c>
      <c r="E17" s="45">
        <f t="shared" si="0"/>
        <v>127.47555555555556</v>
      </c>
      <c r="F17" s="10"/>
      <c r="G17" s="10">
        <f>G4/G10</f>
        <v>121.75148936170213</v>
      </c>
    </row>
    <row r="18" spans="1:7">
      <c r="G18" s="10"/>
    </row>
    <row r="19" spans="1:7">
      <c r="A19" s="22" t="s">
        <v>44</v>
      </c>
      <c r="B19" s="22" t="s">
        <v>5</v>
      </c>
      <c r="C19" s="22" t="s">
        <v>51</v>
      </c>
      <c r="D19" s="22" t="s">
        <v>70</v>
      </c>
      <c r="E19" s="22" t="s">
        <v>117</v>
      </c>
      <c r="G19" s="2"/>
    </row>
    <row r="20" spans="1:7" ht="76.5">
      <c r="A20" s="23" t="s">
        <v>16</v>
      </c>
      <c r="B20" s="24" t="s">
        <v>17</v>
      </c>
      <c r="C20" s="24" t="s">
        <v>57</v>
      </c>
      <c r="D20" s="24" t="s">
        <v>76</v>
      </c>
      <c r="E20" s="24" t="s">
        <v>118</v>
      </c>
      <c r="G20" s="5"/>
    </row>
    <row r="21" spans="1:7">
      <c r="A21" s="25" t="s">
        <v>19</v>
      </c>
      <c r="B21" s="33" t="s">
        <v>22</v>
      </c>
      <c r="C21" s="33" t="s">
        <v>63</v>
      </c>
      <c r="D21" s="33" t="s">
        <v>82</v>
      </c>
      <c r="E21" s="33" t="s">
        <v>82</v>
      </c>
      <c r="G21" s="7"/>
    </row>
    <row r="22" spans="1:7">
      <c r="A22" s="26" t="s">
        <v>45</v>
      </c>
      <c r="B22" s="27">
        <v>125361.64</v>
      </c>
      <c r="C22" s="27">
        <v>51.93</v>
      </c>
      <c r="D22" s="27">
        <v>73648.38</v>
      </c>
      <c r="E22" s="27">
        <v>12189.32</v>
      </c>
      <c r="F22" s="16"/>
      <c r="G22" s="16">
        <f>SUM(B22:E22)</f>
        <v>211251.27000000002</v>
      </c>
    </row>
    <row r="23" spans="1:7">
      <c r="A23" s="28" t="s">
        <v>46</v>
      </c>
      <c r="B23" s="29">
        <v>0.12959999999999999</v>
      </c>
      <c r="C23" s="29">
        <v>0.1036</v>
      </c>
      <c r="D23" s="29">
        <v>0.14369999999999999</v>
      </c>
      <c r="E23" s="29">
        <v>0.22459999999999999</v>
      </c>
      <c r="F23" s="18"/>
      <c r="G23" s="18">
        <f>AVERAGE(B23:E23)</f>
        <v>0.15037500000000001</v>
      </c>
    </row>
    <row r="24" spans="1:7">
      <c r="A24" s="30" t="s">
        <v>47</v>
      </c>
      <c r="B24" s="31">
        <v>1882</v>
      </c>
      <c r="C24" s="31">
        <v>6</v>
      </c>
      <c r="D24" s="31">
        <v>757</v>
      </c>
      <c r="E24" s="31">
        <v>130</v>
      </c>
      <c r="G24" s="21">
        <f>SUM(B24:E24)</f>
        <v>2775</v>
      </c>
    </row>
    <row r="25" spans="1:7">
      <c r="A25" s="41" t="s">
        <v>48</v>
      </c>
      <c r="B25" s="42">
        <v>13174</v>
      </c>
      <c r="C25" s="43">
        <v>30</v>
      </c>
      <c r="D25" s="43">
        <v>50344.82</v>
      </c>
      <c r="E25" s="43">
        <v>4097.18</v>
      </c>
      <c r="G25" s="36">
        <f>SUM(B25:E25)</f>
        <v>67646</v>
      </c>
    </row>
    <row r="26" spans="1:7">
      <c r="A26" s="35" t="s">
        <v>43</v>
      </c>
      <c r="B26" s="40">
        <f>B22/B24</f>
        <v>66.610860786397453</v>
      </c>
      <c r="C26" s="40">
        <f t="shared" ref="C26:E26" si="1">C22/C24</f>
        <v>8.6549999999999994</v>
      </c>
      <c r="D26" s="40">
        <f t="shared" si="1"/>
        <v>97.289801849405549</v>
      </c>
      <c r="E26" s="40">
        <f t="shared" si="1"/>
        <v>93.763999999999996</v>
      </c>
      <c r="G26" s="39">
        <f>G22/G24</f>
        <v>76.126583783783786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4798-5C27-434C-8222-EA2FEB8E0339}">
  <dimension ref="A1:F26"/>
  <sheetViews>
    <sheetView topLeftCell="A6" workbookViewId="0">
      <selection activeCell="B26" activeCellId="1" sqref="B13 B26"/>
    </sheetView>
  </sheetViews>
  <sheetFormatPr defaultRowHeight="15"/>
  <cols>
    <col min="1" max="1" width="30.7109375" customWidth="1"/>
    <col min="2" max="2" width="20.7109375" customWidth="1"/>
    <col min="3" max="3" width="21" customWidth="1"/>
    <col min="4" max="4" width="20.7109375" customWidth="1"/>
    <col min="5" max="5" width="21.28515625" customWidth="1"/>
    <col min="6" max="6" width="15.85546875" customWidth="1"/>
  </cols>
  <sheetData>
    <row r="1" spans="1:6">
      <c r="A1" s="1" t="s">
        <v>1</v>
      </c>
      <c r="B1" s="1" t="s">
        <v>4</v>
      </c>
      <c r="C1" s="1" t="s">
        <v>119</v>
      </c>
      <c r="D1" s="1" t="s">
        <v>50</v>
      </c>
      <c r="E1" s="2"/>
      <c r="F1" s="2" t="s">
        <v>15</v>
      </c>
    </row>
    <row r="2" spans="1:6" ht="76.5">
      <c r="A2" s="3" t="s">
        <v>16</v>
      </c>
      <c r="B2" s="17" t="s">
        <v>17</v>
      </c>
      <c r="C2" s="17" t="s">
        <v>120</v>
      </c>
      <c r="D2" s="17" t="s">
        <v>56</v>
      </c>
      <c r="E2" s="4"/>
      <c r="F2" s="5"/>
    </row>
    <row r="3" spans="1:6">
      <c r="A3" s="6" t="s">
        <v>19</v>
      </c>
      <c r="B3" s="32" t="s">
        <v>21</v>
      </c>
      <c r="C3" s="37" t="s">
        <v>121</v>
      </c>
      <c r="D3" s="32" t="s">
        <v>62</v>
      </c>
      <c r="E3" s="4"/>
      <c r="F3" s="7"/>
    </row>
    <row r="4" spans="1:6">
      <c r="A4" s="8" t="s">
        <v>32</v>
      </c>
      <c r="B4" s="9">
        <v>9486.9500000000007</v>
      </c>
      <c r="C4" s="9">
        <v>221.88</v>
      </c>
      <c r="D4" s="9">
        <v>86.45</v>
      </c>
      <c r="E4" s="10"/>
      <c r="F4" s="10">
        <f>SUM(B4:D4)</f>
        <v>9795.2800000000007</v>
      </c>
    </row>
    <row r="5" spans="1:6">
      <c r="A5" s="11" t="s">
        <v>33</v>
      </c>
      <c r="B5" s="12">
        <v>670.29</v>
      </c>
      <c r="C5" s="12">
        <v>15</v>
      </c>
      <c r="D5" s="12">
        <v>7</v>
      </c>
      <c r="E5" s="10"/>
      <c r="F5" s="10">
        <f>SUM(B5:D5)</f>
        <v>692.29</v>
      </c>
    </row>
    <row r="6" spans="1:6">
      <c r="A6" s="11" t="s">
        <v>34</v>
      </c>
      <c r="B6" s="12">
        <v>1487.05</v>
      </c>
      <c r="C6" s="12">
        <v>41.2</v>
      </c>
      <c r="D6" s="12">
        <v>5</v>
      </c>
      <c r="E6" s="10"/>
      <c r="F6" s="10">
        <f>SUM(B6:D6)</f>
        <v>1533.25</v>
      </c>
    </row>
    <row r="7" spans="1:6">
      <c r="A7" s="11" t="s">
        <v>35</v>
      </c>
      <c r="B7" s="12">
        <v>700</v>
      </c>
      <c r="C7" s="12">
        <v>16.2</v>
      </c>
      <c r="D7" s="12">
        <v>5</v>
      </c>
      <c r="E7" s="10"/>
      <c r="F7" s="10">
        <f>SUM(B7:D7)</f>
        <v>721.2</v>
      </c>
    </row>
    <row r="8" spans="1:6">
      <c r="A8" s="11" t="s">
        <v>36</v>
      </c>
      <c r="B8" s="12">
        <f>B4-B5-B6</f>
        <v>7329.61</v>
      </c>
      <c r="C8" s="12">
        <f>C4-C5-C6</f>
        <v>165.68</v>
      </c>
      <c r="D8" s="12">
        <f>D4-D5-D6</f>
        <v>74.45</v>
      </c>
      <c r="E8" s="10"/>
      <c r="F8" s="10">
        <f>SUM(B8:D8)</f>
        <v>7569.74</v>
      </c>
    </row>
    <row r="9" spans="1:6">
      <c r="A9" s="13"/>
      <c r="B9" s="13"/>
      <c r="C9" s="13"/>
      <c r="D9" s="13"/>
      <c r="E9" s="14"/>
      <c r="F9" s="14"/>
    </row>
    <row r="10" spans="1:6">
      <c r="A10" s="11" t="s">
        <v>37</v>
      </c>
      <c r="B10" s="20">
        <v>100</v>
      </c>
      <c r="C10" s="20">
        <v>3</v>
      </c>
      <c r="D10" s="20">
        <v>1</v>
      </c>
      <c r="F10" s="34">
        <f>SUM(B10:D10)</f>
        <v>104</v>
      </c>
    </row>
    <row r="11" spans="1:6">
      <c r="A11" s="11" t="s">
        <v>38</v>
      </c>
      <c r="B11" s="12">
        <f>B4/B10</f>
        <v>94.869500000000002</v>
      </c>
      <c r="C11" s="12">
        <f>C4/C10</f>
        <v>73.959999999999994</v>
      </c>
      <c r="D11" s="12">
        <f>D4/D10</f>
        <v>86.45</v>
      </c>
      <c r="E11" s="10"/>
      <c r="F11" s="10">
        <f t="shared" ref="F11:F12" si="0">AVERAGE(B11:D11)</f>
        <v>85.093166666666662</v>
      </c>
    </row>
    <row r="12" spans="1:6">
      <c r="A12" s="11" t="s">
        <v>39</v>
      </c>
      <c r="B12" s="12">
        <f>(B4-B5)/B10</f>
        <v>88.166600000000003</v>
      </c>
      <c r="C12" s="12">
        <f>(C4-C5)/C10</f>
        <v>68.959999999999994</v>
      </c>
      <c r="D12" s="12">
        <f>(D4-D5)/D10</f>
        <v>79.45</v>
      </c>
      <c r="E12" s="10"/>
      <c r="F12" s="10">
        <f t="shared" si="0"/>
        <v>78.858866666666657</v>
      </c>
    </row>
    <row r="13" spans="1:6" ht="30.75">
      <c r="A13" s="15" t="s">
        <v>40</v>
      </c>
      <c r="B13" s="12">
        <f>(B4-B5-B6)/B10</f>
        <v>73.296099999999996</v>
      </c>
      <c r="C13" s="12">
        <f>(C4-C5-C6)/C10</f>
        <v>55.226666666666667</v>
      </c>
      <c r="D13" s="12">
        <f>(D4-D5-D6)/D10</f>
        <v>74.45</v>
      </c>
      <c r="E13" s="10"/>
      <c r="F13" s="10">
        <f>AVERAGE(B13:D13)</f>
        <v>67.657588888888881</v>
      </c>
    </row>
    <row r="14" spans="1:6">
      <c r="A14" s="13"/>
      <c r="B14" s="13"/>
      <c r="C14" s="13"/>
      <c r="D14" s="13"/>
      <c r="E14" s="14"/>
      <c r="F14" s="14"/>
    </row>
    <row r="15" spans="1:6" ht="30.75">
      <c r="A15" s="15" t="s">
        <v>41</v>
      </c>
      <c r="B15" s="12">
        <f>B11-B13</f>
        <v>21.573400000000007</v>
      </c>
      <c r="C15" s="12">
        <f>C11-C13</f>
        <v>18.733333333333327</v>
      </c>
      <c r="D15" s="12">
        <f>D11-D13</f>
        <v>12</v>
      </c>
      <c r="E15" s="10"/>
      <c r="F15" s="10">
        <f>SUM(B15:D15)</f>
        <v>52.306733333333334</v>
      </c>
    </row>
    <row r="16" spans="1:6" ht="30.75">
      <c r="A16" s="15" t="s">
        <v>42</v>
      </c>
      <c r="B16" s="12">
        <f>B12-B13</f>
        <v>14.870500000000007</v>
      </c>
      <c r="C16" s="12">
        <f>C12-C13</f>
        <v>13.733333333333327</v>
      </c>
      <c r="D16" s="12">
        <f>D12-D13</f>
        <v>5</v>
      </c>
      <c r="E16" s="10"/>
      <c r="F16" s="10">
        <f t="shared" ref="F16:F18" si="1">SUM(B16:D16)</f>
        <v>33.603833333333334</v>
      </c>
    </row>
    <row r="17" spans="1:6">
      <c r="A17" s="44" t="s">
        <v>43</v>
      </c>
      <c r="B17" s="45">
        <f>B4/B10</f>
        <v>94.869500000000002</v>
      </c>
      <c r="C17" s="45">
        <f t="shared" ref="C17:D17" si="2">C4/C10</f>
        <v>73.959999999999994</v>
      </c>
      <c r="D17" s="45">
        <f t="shared" si="2"/>
        <v>86.45</v>
      </c>
      <c r="E17" s="10"/>
      <c r="F17" s="10">
        <f>F4/F10</f>
        <v>94.185384615384621</v>
      </c>
    </row>
    <row r="18" spans="1:6">
      <c r="F18" s="10"/>
    </row>
    <row r="19" spans="1:6">
      <c r="A19" s="22" t="s">
        <v>44</v>
      </c>
      <c r="B19" s="22" t="s">
        <v>4</v>
      </c>
      <c r="C19" s="22" t="s">
        <v>119</v>
      </c>
      <c r="D19" s="22" t="s">
        <v>50</v>
      </c>
      <c r="F19" s="2"/>
    </row>
    <row r="20" spans="1:6" ht="76.5">
      <c r="A20" s="23" t="s">
        <v>16</v>
      </c>
      <c r="B20" s="24" t="s">
        <v>17</v>
      </c>
      <c r="C20" s="24" t="s">
        <v>120</v>
      </c>
      <c r="D20" s="24" t="s">
        <v>56</v>
      </c>
      <c r="F20" s="5"/>
    </row>
    <row r="21" spans="1:6">
      <c r="A21" s="25" t="s">
        <v>19</v>
      </c>
      <c r="B21" s="33" t="s">
        <v>21</v>
      </c>
      <c r="C21" s="38" t="s">
        <v>121</v>
      </c>
      <c r="D21" s="33" t="s">
        <v>62</v>
      </c>
      <c r="F21" s="7"/>
    </row>
    <row r="22" spans="1:6">
      <c r="A22" s="26" t="s">
        <v>45</v>
      </c>
      <c r="B22" s="27">
        <v>116156.52</v>
      </c>
      <c r="C22" s="27">
        <v>1919.43</v>
      </c>
      <c r="D22" s="27">
        <v>3236.12</v>
      </c>
      <c r="E22" s="16"/>
      <c r="F22" s="16">
        <f>SUM(B22:D22)</f>
        <v>121312.06999999999</v>
      </c>
    </row>
    <row r="23" spans="1:6">
      <c r="A23" s="28" t="s">
        <v>46</v>
      </c>
      <c r="B23" s="29">
        <v>0.13389999999999999</v>
      </c>
      <c r="C23" s="29">
        <v>0.15890000000000001</v>
      </c>
      <c r="D23" s="29">
        <v>0.27529999999999999</v>
      </c>
      <c r="E23" s="18"/>
      <c r="F23" s="18">
        <f>AVERAGE(B23:D23)</f>
        <v>0.18936666666666668</v>
      </c>
    </row>
    <row r="24" spans="1:6">
      <c r="A24" s="30" t="s">
        <v>47</v>
      </c>
      <c r="B24" s="31">
        <v>1743</v>
      </c>
      <c r="C24" s="31">
        <v>19</v>
      </c>
      <c r="D24" s="31">
        <v>45</v>
      </c>
      <c r="F24" s="21">
        <f>SUM(B24:D24)</f>
        <v>1807</v>
      </c>
    </row>
    <row r="25" spans="1:6">
      <c r="A25" s="35" t="s">
        <v>48</v>
      </c>
      <c r="B25" s="27">
        <v>12201</v>
      </c>
      <c r="C25" s="27">
        <v>1243.1300000000001</v>
      </c>
      <c r="D25" s="27">
        <v>225</v>
      </c>
      <c r="F25" s="36">
        <f>SUM(B25:D25)</f>
        <v>13669.130000000001</v>
      </c>
    </row>
    <row r="26" spans="1:6">
      <c r="A26" s="35" t="s">
        <v>43</v>
      </c>
      <c r="B26" s="40">
        <f>B22/B24</f>
        <v>66.641721170395869</v>
      </c>
      <c r="C26" s="40">
        <f t="shared" ref="C26:D26" si="3">C22/C24</f>
        <v>101.02263157894737</v>
      </c>
      <c r="D26" s="40">
        <f t="shared" si="3"/>
        <v>71.913777777777781</v>
      </c>
      <c r="F26" s="39">
        <f>F22/F24</f>
        <v>67.134515771997783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B21E-0E1A-4CAB-B757-92EAE4F43614}">
  <dimension ref="A1:AB26"/>
  <sheetViews>
    <sheetView topLeftCell="A12" zoomScale="75" zoomScaleNormal="75" workbookViewId="0">
      <selection activeCell="B26" activeCellId="1" sqref="B13 B26"/>
    </sheetView>
  </sheetViews>
  <sheetFormatPr defaultRowHeight="15" customHeight="1"/>
  <cols>
    <col min="1" max="1" width="30.7109375" customWidth="1"/>
    <col min="2" max="3" width="20.7109375" customWidth="1"/>
    <col min="4" max="4" width="23.5703125" customWidth="1"/>
    <col min="5" max="5" width="21.28515625" customWidth="1"/>
    <col min="6" max="6" width="15.85546875" customWidth="1"/>
  </cols>
  <sheetData>
    <row r="1" spans="1:28" s="2" customFormat="1">
      <c r="A1" s="1" t="s">
        <v>1</v>
      </c>
      <c r="B1" s="1" t="s">
        <v>2</v>
      </c>
      <c r="C1" s="1" t="s">
        <v>3</v>
      </c>
      <c r="D1" s="1" t="s">
        <v>69</v>
      </c>
      <c r="F1" s="2" t="s">
        <v>15</v>
      </c>
    </row>
    <row r="2" spans="1:28" s="5" customFormat="1" ht="85.5" customHeight="1">
      <c r="A2" s="3" t="s">
        <v>16</v>
      </c>
      <c r="B2" s="17" t="s">
        <v>17</v>
      </c>
      <c r="C2" s="17" t="s">
        <v>18</v>
      </c>
      <c r="D2" s="17" t="s">
        <v>75</v>
      </c>
      <c r="E2" s="4"/>
    </row>
    <row r="3" spans="1:28" s="4" customFormat="1">
      <c r="A3" s="6" t="s">
        <v>19</v>
      </c>
      <c r="B3" s="32" t="s">
        <v>20</v>
      </c>
      <c r="C3" s="32" t="s">
        <v>20</v>
      </c>
      <c r="D3" s="32" t="s">
        <v>81</v>
      </c>
      <c r="F3" s="7"/>
    </row>
    <row r="4" spans="1:28">
      <c r="A4" s="8" t="s">
        <v>32</v>
      </c>
      <c r="B4" s="9">
        <v>5004.67</v>
      </c>
      <c r="C4" s="9">
        <v>6478.47</v>
      </c>
      <c r="D4" s="9">
        <v>32055.93</v>
      </c>
      <c r="E4" s="10"/>
      <c r="F4" s="10">
        <f>SUM(B4:D4)</f>
        <v>43539.07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>
      <c r="A5" s="11" t="s">
        <v>33</v>
      </c>
      <c r="B5" s="12">
        <v>274</v>
      </c>
      <c r="C5" s="12">
        <v>367.87</v>
      </c>
      <c r="D5" s="12">
        <v>2250.83</v>
      </c>
      <c r="E5" s="10"/>
      <c r="F5" s="10">
        <f t="shared" ref="F4:F5" si="0">SUM(B5:D5)</f>
        <v>2892.7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>
      <c r="A6" s="11" t="s">
        <v>34</v>
      </c>
      <c r="B6" s="12">
        <v>761.48</v>
      </c>
      <c r="C6" s="12">
        <v>993.99</v>
      </c>
      <c r="D6" s="12">
        <v>5347.54</v>
      </c>
      <c r="E6" s="10"/>
      <c r="F6" s="10">
        <f>SUM(B6:D6)</f>
        <v>7103.01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>
      <c r="A7" s="11" t="s">
        <v>35</v>
      </c>
      <c r="B7" s="12">
        <v>371</v>
      </c>
      <c r="C7" s="12">
        <v>284.04000000000002</v>
      </c>
      <c r="D7" s="12">
        <v>2986.13</v>
      </c>
      <c r="E7" s="10"/>
      <c r="F7" s="10">
        <f>SUM(B7:D7)</f>
        <v>3641.17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>
      <c r="A8" s="11" t="s">
        <v>36</v>
      </c>
      <c r="B8" s="12">
        <f>B4-B5-B6</f>
        <v>3969.19</v>
      </c>
      <c r="C8" s="12">
        <f>C4-C5-C6</f>
        <v>5116.6100000000006</v>
      </c>
      <c r="D8" s="12">
        <f>D4-D5-D6</f>
        <v>24457.559999999998</v>
      </c>
      <c r="E8" s="10"/>
      <c r="F8" s="10">
        <f>SUM(D8:D8)</f>
        <v>24457.559999999998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14" customFormat="1" ht="5.45" customHeight="1">
      <c r="A9" s="13"/>
      <c r="B9" s="13"/>
      <c r="C9" s="13"/>
      <c r="D9" s="13"/>
    </row>
    <row r="10" spans="1:28">
      <c r="A10" s="11" t="s">
        <v>37</v>
      </c>
      <c r="B10" s="20">
        <v>53</v>
      </c>
      <c r="C10" s="20">
        <v>40</v>
      </c>
      <c r="D10" s="20">
        <v>287</v>
      </c>
      <c r="F10" s="34">
        <f>SUM(D10:D10)</f>
        <v>287</v>
      </c>
    </row>
    <row r="11" spans="1:28">
      <c r="A11" s="11" t="s">
        <v>38</v>
      </c>
      <c r="B11" s="12">
        <f>B4/B10</f>
        <v>94.427735849056603</v>
      </c>
      <c r="C11" s="12">
        <f>C4/C10</f>
        <v>161.96174999999999</v>
      </c>
      <c r="D11" s="12">
        <f>D4/D10</f>
        <v>111.69313588850174</v>
      </c>
      <c r="E11" s="10"/>
      <c r="F11" s="10">
        <f>AVERAGE(D11:D11)</f>
        <v>111.69313588850174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>
      <c r="A12" s="11" t="s">
        <v>39</v>
      </c>
      <c r="B12" s="12">
        <f>(B4-B5)/B10</f>
        <v>89.257924528301885</v>
      </c>
      <c r="C12" s="12">
        <f>(C4-C5)/C10</f>
        <v>152.76500000000001</v>
      </c>
      <c r="D12" s="12">
        <f>(D4-D5)/D10</f>
        <v>103.85052264808363</v>
      </c>
      <c r="E12" s="10"/>
      <c r="F12" s="10">
        <f>AVERAGE(D12:D12)</f>
        <v>103.85052264808363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30.75">
      <c r="A13" s="15" t="s">
        <v>40</v>
      </c>
      <c r="B13" s="12">
        <f>(B4-B5-B6)/B10</f>
        <v>74.890377358490568</v>
      </c>
      <c r="C13" s="12">
        <f>(C4-C5-C6)/C10</f>
        <v>127.91525000000001</v>
      </c>
      <c r="D13" s="12">
        <f>(D4-D5-D6)/D10</f>
        <v>85.217979094076654</v>
      </c>
      <c r="E13" s="10"/>
      <c r="F13" s="10">
        <f>AVERAGE(D13:D13)</f>
        <v>85.217979094076654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s="14" customFormat="1" ht="5.45" customHeight="1">
      <c r="A14" s="13"/>
      <c r="B14" s="13"/>
      <c r="C14" s="13"/>
      <c r="D14" s="13"/>
    </row>
    <row r="15" spans="1:28" ht="30.75">
      <c r="A15" s="15" t="s">
        <v>41</v>
      </c>
      <c r="B15" s="12">
        <f>B11-B13</f>
        <v>19.537358490566035</v>
      </c>
      <c r="C15" s="12">
        <f>C11-C13</f>
        <v>34.04649999999998</v>
      </c>
      <c r="D15" s="12">
        <f>D11-D13</f>
        <v>26.475156794425089</v>
      </c>
      <c r="E15" s="10"/>
      <c r="F15" s="10">
        <f>SUM(D15:D15)</f>
        <v>26.475156794425089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0.75">
      <c r="A16" s="15" t="s">
        <v>42</v>
      </c>
      <c r="B16" s="12">
        <f>B12-B13</f>
        <v>14.367547169811317</v>
      </c>
      <c r="C16" s="12">
        <f>C12-C13</f>
        <v>24.84975</v>
      </c>
      <c r="D16" s="12">
        <f>D12-D13</f>
        <v>18.632543554006972</v>
      </c>
      <c r="E16" s="10"/>
      <c r="F16" s="10">
        <f>SUM(D16:D16)</f>
        <v>18.632543554006972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>
      <c r="A17" s="44" t="s">
        <v>43</v>
      </c>
      <c r="B17" s="45">
        <f>B4/B10</f>
        <v>94.427735849056603</v>
      </c>
      <c r="C17" s="45">
        <f t="shared" ref="C17:D17" si="1">C4/C10</f>
        <v>161.96174999999999</v>
      </c>
      <c r="D17" s="45">
        <f t="shared" si="1"/>
        <v>111.69313588850174</v>
      </c>
      <c r="E17" s="10"/>
      <c r="F17" s="10">
        <f>F4/F10</f>
        <v>151.70407665505226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9" spans="1:28">
      <c r="A19" s="22" t="s">
        <v>44</v>
      </c>
      <c r="B19" s="22" t="s">
        <v>2</v>
      </c>
      <c r="C19" s="22" t="s">
        <v>3</v>
      </c>
      <c r="D19" s="22" t="s">
        <v>69</v>
      </c>
      <c r="F19" s="2"/>
    </row>
    <row r="20" spans="1:28" ht="88.5" customHeight="1">
      <c r="A20" s="23" t="s">
        <v>16</v>
      </c>
      <c r="B20" s="24" t="s">
        <v>17</v>
      </c>
      <c r="C20" s="24" t="s">
        <v>18</v>
      </c>
      <c r="D20" s="24" t="s">
        <v>75</v>
      </c>
      <c r="F20" s="5"/>
      <c r="N20" s="19"/>
    </row>
    <row r="21" spans="1:28">
      <c r="A21" s="25" t="s">
        <v>19</v>
      </c>
      <c r="B21" s="33" t="s">
        <v>20</v>
      </c>
      <c r="C21" s="33" t="s">
        <v>20</v>
      </c>
      <c r="D21" s="33" t="s">
        <v>81</v>
      </c>
      <c r="F21" s="7"/>
    </row>
    <row r="22" spans="1:28" s="16" customFormat="1">
      <c r="A22" s="26" t="s">
        <v>45</v>
      </c>
      <c r="B22" s="27">
        <v>55507.28</v>
      </c>
      <c r="C22" s="27">
        <v>41666.74</v>
      </c>
      <c r="D22" s="27">
        <v>119911.84</v>
      </c>
      <c r="F22" s="16">
        <f>SUM(B22:D22)</f>
        <v>217085.86</v>
      </c>
    </row>
    <row r="23" spans="1:28" s="18" customFormat="1">
      <c r="A23" s="28" t="s">
        <v>46</v>
      </c>
      <c r="B23" s="29">
        <v>0.14879999999999999</v>
      </c>
      <c r="C23" s="29">
        <v>0.18490000000000001</v>
      </c>
      <c r="D23" s="29">
        <v>0.16089999999999999</v>
      </c>
      <c r="F23" s="18">
        <f>AVERAGE(B23:D23)</f>
        <v>0.16486666666666666</v>
      </c>
    </row>
    <row r="24" spans="1:28">
      <c r="A24" s="30" t="s">
        <v>47</v>
      </c>
      <c r="B24" s="31">
        <v>818</v>
      </c>
      <c r="C24" s="31">
        <v>523</v>
      </c>
      <c r="D24" s="31">
        <v>1317</v>
      </c>
      <c r="F24" s="21">
        <f>SUM(B24:D24)</f>
        <v>2658</v>
      </c>
    </row>
    <row r="25" spans="1:28" ht="15" customHeight="1">
      <c r="A25" s="35" t="s">
        <v>48</v>
      </c>
      <c r="B25" s="27">
        <v>5726</v>
      </c>
      <c r="C25" s="27">
        <v>1986.46</v>
      </c>
      <c r="D25" s="27">
        <v>13606.18</v>
      </c>
      <c r="F25" s="36">
        <f>SUM(B25:D25)</f>
        <v>21318.639999999999</v>
      </c>
    </row>
    <row r="26" spans="1:28" ht="15" customHeight="1">
      <c r="A26" s="35" t="s">
        <v>43</v>
      </c>
      <c r="B26" s="40">
        <v>73.760000000000005</v>
      </c>
      <c r="C26" s="40">
        <f t="shared" ref="C26:D26" si="2">C22/C24</f>
        <v>79.668718929254297</v>
      </c>
      <c r="D26" s="40">
        <f t="shared" si="2"/>
        <v>91.049233105542896</v>
      </c>
      <c r="F26" s="39">
        <f>F22/F24</f>
        <v>81.672633559066966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  <SharedWithUsers xmlns="ff101762-23d1-4ba0-9cbe-7a45c59d2c20">
      <UserInfo>
        <DisplayName>Bennett, Faith</DisplayName>
        <AccountId>2985</AccountId>
        <AccountType/>
      </UserInfo>
      <UserInfo>
        <DisplayName>Kersey, Courtney</DisplayName>
        <AccountId>510</AccountId>
        <AccountType/>
      </UserInfo>
      <UserInfo>
        <DisplayName>Hanzelko, Tim</DisplayName>
        <AccountId>5613</AccountId>
        <AccountType/>
      </UserInfo>
      <UserInfo>
        <DisplayName>Rohlfing, Chelsea</DisplayName>
        <AccountId>70</AccountId>
        <AccountType/>
      </UserInfo>
      <UserInfo>
        <DisplayName>Kelly, Sean</DisplayName>
        <AccountId>2272</AccountId>
        <AccountType/>
      </UserInfo>
      <UserInfo>
        <DisplayName>Lytle, Mary</DisplayName>
        <AccountId>7704</AccountId>
        <AccountType/>
      </UserInfo>
      <UserInfo>
        <DisplayName>Bowes, Lisa</DisplayName>
        <AccountId>30</AccountId>
        <AccountType/>
      </UserInfo>
      <UserInfo>
        <DisplayName>Prowse, Amanda</DisplayName>
        <AccountId>15379</AccountId>
        <AccountType/>
      </UserInfo>
    </SharedWithUsers>
    <lcf76f155ced4ddcb4097134ff3c332f xmlns="e977b2b5-3911-4478-b2ae-72d10252f2ad">
      <Terms xmlns="http://schemas.microsoft.com/office/infopath/2007/PartnerControls"/>
    </lcf76f155ced4ddcb4097134ff3c332f>
    <TaxCatchAll xmlns="aec28e0a-ab32-4f87-a753-0b9a60fcea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6FCFC3800084F925CBDE9DDE5AFD9" ma:contentTypeVersion="20" ma:contentTypeDescription="Create a new document." ma:contentTypeScope="" ma:versionID="1224b4e3ebea9c7aa674792b869495f9">
  <xsd:schema xmlns:xsd="http://www.w3.org/2001/XMLSchema" xmlns:xs="http://www.w3.org/2001/XMLSchema" xmlns:p="http://schemas.microsoft.com/office/2006/metadata/properties" xmlns:ns1="http://schemas.microsoft.com/sharepoint/v3" xmlns:ns2="ff101762-23d1-4ba0-9cbe-7a45c59d2c20" xmlns:ns3="aec28e0a-ab32-4f87-a753-0b9a60fcea8a" xmlns:ns4="e977b2b5-3911-4478-b2ae-72d10252f2ad" targetNamespace="http://schemas.microsoft.com/office/2006/metadata/properties" ma:root="true" ma:fieldsID="72d68fb9ea6ec6eb01fc5a721def560b" ns1:_="" ns2:_="" ns3:_="" ns4:_="">
    <xsd:import namespace="http://schemas.microsoft.com/sharepoint/v3"/>
    <xsd:import namespace="ff101762-23d1-4ba0-9cbe-7a45c59d2c20"/>
    <xsd:import namespace="aec28e0a-ab32-4f87-a753-0b9a60fcea8a"/>
    <xsd:import namespace="e977b2b5-3911-4478-b2ae-72d10252f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1:LikesCount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11" nillable="true" ma:displayName="Number of Likes" ma:internalName="LikesCount">
      <xsd:simpleType>
        <xsd:restriction base="dms:Unknown"/>
      </xsd:simpleType>
    </xsd:element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01762-23d1-4ba0-9cbe-7a45c59d2c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28e0a-ab32-4f87-a753-0b9a60fcea8a" elementFormDefault="qualified">
    <xsd:import namespace="http://schemas.microsoft.com/office/2006/documentManagement/types"/>
    <xsd:import namespace="http://schemas.microsoft.com/office/infopath/2007/PartnerControls"/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1" nillable="true" ma:displayName="Taxonomy Catch All Column" ma:hidden="true" ma:list="{91c5a65a-e816-45e1-ae98-53b72d7d2d0a}" ma:internalName="TaxCatchAll" ma:showField="CatchAllData" ma:web="aec28e0a-ab32-4f87-a753-0b9a60fce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7b2b5-3911-4478-b2ae-72d10252f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cd2f6036-0c38-4e64-9a14-852f3064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8A1822-66F5-4052-81F1-71276EF18B5C}"/>
</file>

<file path=customXml/itemProps2.xml><?xml version="1.0" encoding="utf-8"?>
<ds:datastoreItem xmlns:ds="http://schemas.openxmlformats.org/officeDocument/2006/customXml" ds:itemID="{4BC756FD-8F34-431E-995F-FBC55F50DEB0}"/>
</file>

<file path=customXml/itemProps3.xml><?xml version="1.0" encoding="utf-8"?>
<ds:datastoreItem xmlns:ds="http://schemas.openxmlformats.org/officeDocument/2006/customXml" ds:itemID="{D352E424-7093-4637-84EC-DFB22A7AB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Hanzelko, Tim</dc:creator>
  <cp:keywords/>
  <dc:description/>
  <cp:lastModifiedBy>Hanzelko, Tim</cp:lastModifiedBy>
  <cp:revision/>
  <dcterms:created xsi:type="dcterms:W3CDTF">2021-08-06T14:22:02Z</dcterms:created>
  <dcterms:modified xsi:type="dcterms:W3CDTF">2025-01-16T20:50:29Z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0x010100B936FCFC3800084F925CBDE9DDE5AFD9</vt:lpwstr>
  </property>
</Properties>
</file>