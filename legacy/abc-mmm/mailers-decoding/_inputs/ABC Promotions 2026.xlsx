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cfws.sharepoint.com/marketing/Shared Team Documents/Reporting/Promotions/ABC Promotions/"/>
    </mc:Choice>
  </mc:AlternateContent>
  <xr:revisionPtr revIDLastSave="194" documentId="8_{BC3A50FF-ADD7-4B8C-A7FF-C9117B619860}" xr6:coauthVersionLast="47" xr6:coauthVersionMax="47" xr10:uidLastSave="{1ADB8F31-5BB4-4B89-A38F-D19828A3777A}"/>
  <bookViews>
    <workbookView minimized="1" xWindow="4726" yWindow="1977" windowWidth="19872" windowHeight="11912" firstSheet="1" activeTab="1" xr2:uid="{7B7B8701-3173-42C6-8A70-14DB2644476F}"/>
  </bookViews>
  <sheets>
    <sheet name="Summary" sheetId="15" r:id="rId1"/>
    <sheet name="Mar 2026" sheetId="17" r:id="rId2"/>
    <sheet name="Feb 2026" sheetId="16" r:id="rId3"/>
    <sheet name="Jan 2026" sheetId="1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5" l="1"/>
  <c r="G46" i="15"/>
  <c r="G42" i="15"/>
  <c r="G41" i="15"/>
  <c r="G45" i="15" s="1"/>
  <c r="G40" i="15"/>
  <c r="G44" i="15" s="1"/>
  <c r="G37" i="15"/>
  <c r="O27" i="15"/>
  <c r="O18" i="15"/>
  <c r="O14" i="15"/>
  <c r="O13" i="15"/>
  <c r="O17" i="15" s="1"/>
  <c r="O12" i="15"/>
  <c r="O16" i="15" s="1"/>
  <c r="O9" i="15"/>
  <c r="C26" i="17"/>
  <c r="C16" i="17"/>
  <c r="C15" i="17"/>
  <c r="C8" i="17"/>
  <c r="E26" i="17"/>
  <c r="D26" i="17"/>
  <c r="B26" i="17"/>
  <c r="G25" i="17"/>
  <c r="G24" i="17"/>
  <c r="G23" i="17"/>
  <c r="G22" i="17"/>
  <c r="G26" i="17" s="1"/>
  <c r="E17" i="17"/>
  <c r="B17" i="17"/>
  <c r="D16" i="17"/>
  <c r="D15" i="17"/>
  <c r="E13" i="17"/>
  <c r="B13" i="17"/>
  <c r="G13" i="17" s="1"/>
  <c r="E12" i="17"/>
  <c r="E16" i="17" s="1"/>
  <c r="B12" i="17"/>
  <c r="E11" i="17"/>
  <c r="E15" i="17" s="1"/>
  <c r="B11" i="17"/>
  <c r="G10" i="17"/>
  <c r="E8" i="17"/>
  <c r="D8" i="17"/>
  <c r="B8" i="17"/>
  <c r="G8" i="17" s="1"/>
  <c r="G7" i="17"/>
  <c r="G6" i="17"/>
  <c r="G5" i="17"/>
  <c r="G4" i="17"/>
  <c r="G17" i="17" s="1"/>
  <c r="P27" i="15"/>
  <c r="P18" i="15"/>
  <c r="P14" i="15"/>
  <c r="P13" i="15"/>
  <c r="P17" i="15" s="1"/>
  <c r="P12" i="15"/>
  <c r="P16" i="15" s="1"/>
  <c r="P9" i="15"/>
  <c r="N27" i="15"/>
  <c r="N18" i="15"/>
  <c r="N14" i="15"/>
  <c r="N13" i="15"/>
  <c r="N17" i="15" s="1"/>
  <c r="N12" i="15"/>
  <c r="N16" i="15" s="1"/>
  <c r="N9" i="15"/>
  <c r="B102" i="15"/>
  <c r="C102" i="15"/>
  <c r="D111" i="15"/>
  <c r="D102" i="15"/>
  <c r="D98" i="15"/>
  <c r="D97" i="15"/>
  <c r="D101" i="15" s="1"/>
  <c r="D96" i="15"/>
  <c r="D100" i="15" s="1"/>
  <c r="D93" i="15"/>
  <c r="E17" i="16"/>
  <c r="E13" i="16"/>
  <c r="E12" i="16"/>
  <c r="E16" i="16" s="1"/>
  <c r="E11" i="16"/>
  <c r="E15" i="16" s="1"/>
  <c r="D26" i="16"/>
  <c r="D16" i="16"/>
  <c r="D15" i="16"/>
  <c r="D8" i="16"/>
  <c r="C26" i="16"/>
  <c r="C16" i="16"/>
  <c r="C15" i="16"/>
  <c r="C8" i="16"/>
  <c r="E26" i="16"/>
  <c r="B26" i="16"/>
  <c r="G25" i="16"/>
  <c r="G24" i="16"/>
  <c r="G23" i="16"/>
  <c r="G22" i="16"/>
  <c r="G26" i="16" s="1"/>
  <c r="B17" i="16"/>
  <c r="B13" i="16"/>
  <c r="G13" i="16" s="1"/>
  <c r="B12" i="16"/>
  <c r="B11" i="16"/>
  <c r="G10" i="16"/>
  <c r="E8" i="16"/>
  <c r="B8" i="16"/>
  <c r="G8" i="16" s="1"/>
  <c r="G7" i="16"/>
  <c r="G6" i="16"/>
  <c r="G5" i="16"/>
  <c r="G4" i="16"/>
  <c r="G17" i="16" s="1"/>
  <c r="C111" i="15"/>
  <c r="C101" i="15"/>
  <c r="C100" i="15"/>
  <c r="C93" i="15"/>
  <c r="B111" i="15"/>
  <c r="B101" i="15"/>
  <c r="B100" i="15"/>
  <c r="B93" i="15"/>
  <c r="F10" i="12"/>
  <c r="F4" i="12"/>
  <c r="F24" i="12"/>
  <c r="C26" i="12"/>
  <c r="C16" i="12"/>
  <c r="C15" i="12"/>
  <c r="C8" i="12"/>
  <c r="M27" i="15"/>
  <c r="M18" i="15"/>
  <c r="M14" i="15"/>
  <c r="M13" i="15"/>
  <c r="M17" i="15" s="1"/>
  <c r="M12" i="15"/>
  <c r="M16" i="15" s="1"/>
  <c r="M9" i="15"/>
  <c r="L27" i="15"/>
  <c r="L18" i="15"/>
  <c r="L14" i="15"/>
  <c r="L13" i="15"/>
  <c r="L17" i="15" s="1"/>
  <c r="L12" i="15"/>
  <c r="L16" i="15" s="1"/>
  <c r="L9" i="15"/>
  <c r="J27" i="15"/>
  <c r="K27" i="15"/>
  <c r="K18" i="15"/>
  <c r="K14" i="15"/>
  <c r="K13" i="15"/>
  <c r="K17" i="15" s="1"/>
  <c r="K12" i="15"/>
  <c r="K16" i="15" s="1"/>
  <c r="K9" i="15"/>
  <c r="F55" i="15"/>
  <c r="F46" i="15"/>
  <c r="F42" i="15"/>
  <c r="F41" i="15"/>
  <c r="F45" i="15" s="1"/>
  <c r="F40" i="15"/>
  <c r="F44" i="15" s="1"/>
  <c r="F37" i="15"/>
  <c r="J18" i="15"/>
  <c r="J14" i="15"/>
  <c r="J13" i="15"/>
  <c r="J17" i="15" s="1"/>
  <c r="J12" i="15"/>
  <c r="J16" i="15" s="1"/>
  <c r="J9" i="15"/>
  <c r="I27" i="15"/>
  <c r="I18" i="15"/>
  <c r="I14" i="15"/>
  <c r="I13" i="15"/>
  <c r="I17" i="15" s="1"/>
  <c r="I12" i="15"/>
  <c r="I16" i="15" s="1"/>
  <c r="I9" i="15"/>
  <c r="E55" i="15"/>
  <c r="E46" i="15"/>
  <c r="E42" i="15"/>
  <c r="E41" i="15"/>
  <c r="E45" i="15" s="1"/>
  <c r="E40" i="15"/>
  <c r="E44" i="15" s="1"/>
  <c r="E37" i="15"/>
  <c r="H27" i="15"/>
  <c r="H18" i="15"/>
  <c r="H14" i="15"/>
  <c r="H13" i="15"/>
  <c r="H17" i="15" s="1"/>
  <c r="H12" i="15"/>
  <c r="H16" i="15" s="1"/>
  <c r="H9" i="15"/>
  <c r="G27" i="15"/>
  <c r="G18" i="15"/>
  <c r="G14" i="15"/>
  <c r="G13" i="15"/>
  <c r="G17" i="15" s="1"/>
  <c r="G12" i="15"/>
  <c r="G16" i="15" s="1"/>
  <c r="G9" i="15"/>
  <c r="F26" i="15"/>
  <c r="F27" i="15"/>
  <c r="F18" i="15"/>
  <c r="F14" i="15"/>
  <c r="F13" i="15"/>
  <c r="F17" i="15" s="1"/>
  <c r="F12" i="15"/>
  <c r="F16" i="15" s="1"/>
  <c r="F9" i="15"/>
  <c r="E26" i="15"/>
  <c r="D55" i="15"/>
  <c r="D46" i="15"/>
  <c r="D42" i="15"/>
  <c r="D41" i="15"/>
  <c r="D45" i="15" s="1"/>
  <c r="D40" i="15"/>
  <c r="D44" i="15" s="1"/>
  <c r="D37" i="15"/>
  <c r="E27" i="15"/>
  <c r="E18" i="15"/>
  <c r="E14" i="15"/>
  <c r="E13" i="15"/>
  <c r="E17" i="15" s="1"/>
  <c r="E12" i="15"/>
  <c r="E16" i="15" s="1"/>
  <c r="E9" i="15"/>
  <c r="D18" i="15"/>
  <c r="D14" i="15"/>
  <c r="D13" i="15"/>
  <c r="D17" i="15" s="1"/>
  <c r="D12" i="15"/>
  <c r="D16" i="15" s="1"/>
  <c r="D9" i="15"/>
  <c r="C55" i="15"/>
  <c r="B55" i="15"/>
  <c r="C46" i="15"/>
  <c r="B46" i="15"/>
  <c r="C42" i="15"/>
  <c r="B42" i="15"/>
  <c r="C41" i="15"/>
  <c r="C45" i="15" s="1"/>
  <c r="B41" i="15"/>
  <c r="B45" i="15" s="1"/>
  <c r="C40" i="15"/>
  <c r="C44" i="15" s="1"/>
  <c r="B40" i="15"/>
  <c r="B44" i="15" s="1"/>
  <c r="C37" i="15"/>
  <c r="B37" i="15"/>
  <c r="D27" i="15"/>
  <c r="C27" i="15"/>
  <c r="C18" i="15"/>
  <c r="C14" i="15"/>
  <c r="C13" i="15"/>
  <c r="C17" i="15" s="1"/>
  <c r="C12" i="15"/>
  <c r="C16" i="15" s="1"/>
  <c r="C9" i="15"/>
  <c r="B12" i="12"/>
  <c r="B27" i="15"/>
  <c r="B18" i="15"/>
  <c r="B14" i="15"/>
  <c r="B13" i="15"/>
  <c r="B17" i="15" s="1"/>
  <c r="B12" i="15"/>
  <c r="B16" i="15" s="1"/>
  <c r="B9" i="15"/>
  <c r="B26" i="12"/>
  <c r="R11" i="15"/>
  <c r="R5" i="15"/>
  <c r="R26" i="15"/>
  <c r="R25" i="15"/>
  <c r="R24" i="15"/>
  <c r="R23" i="15"/>
  <c r="R8" i="15"/>
  <c r="R7" i="15"/>
  <c r="R6" i="15"/>
  <c r="R27" i="15"/>
  <c r="R18" i="15"/>
  <c r="R9" i="15"/>
  <c r="R14" i="15"/>
  <c r="D17" i="12"/>
  <c r="B17" i="12"/>
  <c r="D26" i="12"/>
  <c r="D13" i="12"/>
  <c r="D12" i="12"/>
  <c r="F12" i="12" s="1"/>
  <c r="D11" i="12"/>
  <c r="D8" i="12"/>
  <c r="F25" i="12"/>
  <c r="F22" i="12"/>
  <c r="F23" i="12"/>
  <c r="F5" i="12"/>
  <c r="F7" i="12"/>
  <c r="F6" i="12"/>
  <c r="B13" i="12"/>
  <c r="B11" i="12"/>
  <c r="B8" i="12"/>
  <c r="B15" i="17" l="1"/>
  <c r="G15" i="17" s="1"/>
  <c r="G11" i="17"/>
  <c r="B16" i="17"/>
  <c r="G16" i="17" s="1"/>
  <c r="G12" i="17"/>
  <c r="B15" i="16"/>
  <c r="G15" i="16" s="1"/>
  <c r="G11" i="16"/>
  <c r="B16" i="16"/>
  <c r="G16" i="16" s="1"/>
  <c r="G12" i="16"/>
  <c r="F13" i="12"/>
  <c r="F8" i="12"/>
  <c r="D15" i="12"/>
  <c r="F11" i="12"/>
  <c r="F17" i="12"/>
  <c r="B15" i="12"/>
  <c r="B16" i="12"/>
  <c r="D16" i="12"/>
  <c r="F16" i="12" s="1"/>
  <c r="R16" i="15"/>
  <c r="R12" i="15"/>
  <c r="R17" i="15"/>
  <c r="R13" i="15"/>
  <c r="F26" i="12"/>
  <c r="F15" i="12" l="1"/>
</calcChain>
</file>

<file path=xl/sharedStrings.xml><?xml version="1.0" encoding="utf-8"?>
<sst xmlns="http://schemas.openxmlformats.org/spreadsheetml/2006/main" count="375" uniqueCount="77">
  <si>
    <t>Birthday</t>
  </si>
  <si>
    <t>OCC</t>
  </si>
  <si>
    <t>Jan Birthday</t>
  </si>
  <si>
    <t>Feb Birthday</t>
  </si>
  <si>
    <t>Mar Birthday</t>
  </si>
  <si>
    <t>April Birthday</t>
  </si>
  <si>
    <t>May Birthday</t>
  </si>
  <si>
    <t>June Birthday</t>
  </si>
  <si>
    <t>July Birthday</t>
  </si>
  <si>
    <t>Aug Birthday</t>
  </si>
  <si>
    <t>Sept Birthday</t>
  </si>
  <si>
    <t>Oct Birthday</t>
  </si>
  <si>
    <t>Nov Birthday</t>
  </si>
  <si>
    <t>Dec Birthday</t>
  </si>
  <si>
    <t>Totals</t>
  </si>
  <si>
    <t>Description</t>
  </si>
  <si>
    <t>$7 off $35+ wines or spirits 
700mL, 750mL, 1L, 1.5L or 1.75L sizes</t>
  </si>
  <si>
    <t>Dates Active</t>
  </si>
  <si>
    <t>1/1-1/31</t>
  </si>
  <si>
    <t>2/1-2/28</t>
  </si>
  <si>
    <t>3/1-3/31</t>
  </si>
  <si>
    <t>4/1-4/30</t>
  </si>
  <si>
    <t>5/1-5/31</t>
  </si>
  <si>
    <t>6/1-6/30</t>
  </si>
  <si>
    <t>7/1-7/31</t>
  </si>
  <si>
    <t>8/1-8/30</t>
  </si>
  <si>
    <t>9/1-9/30</t>
  </si>
  <si>
    <t>10/1-10/31</t>
  </si>
  <si>
    <t>11/1-12/1</t>
  </si>
  <si>
    <t>12/1-12/31</t>
  </si>
  <si>
    <t>3/1-3/28</t>
  </si>
  <si>
    <t>Full Retail Value</t>
  </si>
  <si>
    <t>Markdown Discount (sale prices)</t>
  </si>
  <si>
    <t>Total Promotional Discount</t>
  </si>
  <si>
    <t>Promo Discount (This Promo)</t>
  </si>
  <si>
    <t>Gross Rev</t>
  </si>
  <si>
    <t># of orders</t>
  </si>
  <si>
    <t>Avg Full Retail Value</t>
  </si>
  <si>
    <t>Avg Retail Value w/ Sale Prices</t>
  </si>
  <si>
    <t>Av Retail Value w/ Sale Prices and Promotions</t>
  </si>
  <si>
    <t>Promotional Cost per Order
w/ Sale Prices and Promotions</t>
  </si>
  <si>
    <t>Promotional Cost per Order
w/ Promotions only</t>
  </si>
  <si>
    <t>AOV</t>
  </si>
  <si>
    <t>INSTORE</t>
  </si>
  <si>
    <t>Promo Sales (Trans Total)</t>
  </si>
  <si>
    <t>Gross Profit Margin</t>
  </si>
  <si>
    <t>Transactions</t>
  </si>
  <si>
    <t>Total Discount</t>
  </si>
  <si>
    <t>VBCs</t>
  </si>
  <si>
    <t>Sagamore VBC</t>
  </si>
  <si>
    <t>Whistlepig VBC</t>
  </si>
  <si>
    <t>Night Owl VBC</t>
  </si>
  <si>
    <t>Western Son VBC</t>
  </si>
  <si>
    <t>Ballotin $5 off</t>
  </si>
  <si>
    <t>Kickstand</t>
  </si>
  <si>
    <t>$8 off Sagamore
Pcodes: 460005, 460105</t>
  </si>
  <si>
    <t>$4 off Whistlepig Whiskey
Pcodes: 909005, 910505</t>
  </si>
  <si>
    <t xml:space="preserve">$5 off Western Son Vodka 1.75L
Pcodes: </t>
  </si>
  <si>
    <t>$5 off Ballotin Whiskey</t>
  </si>
  <si>
    <t>$5 off Kickstand</t>
  </si>
  <si>
    <t>2/11-4/5</t>
  </si>
  <si>
    <t>7/7-8/2</t>
  </si>
  <si>
    <t>10/5-11/1</t>
  </si>
  <si>
    <t>Free Bottles</t>
  </si>
  <si>
    <t>New Sign Ups</t>
  </si>
  <si>
    <t>$5 off $35+ wines or spirits 
700mL, 750mL, 1L, 1.5L or 1.75L sizes</t>
  </si>
  <si>
    <t>12/1/2025-12/31/2025</t>
  </si>
  <si>
    <t>Vero Print Ad</t>
  </si>
  <si>
    <t>$15 off $100+ wines or spirits 
700mL, 750mL, 1L, 1.5L or 1.75L sizes</t>
  </si>
  <si>
    <t>3/10-4/12</t>
  </si>
  <si>
    <t>S&amp;C Blitz</t>
  </si>
  <si>
    <t>Florida Man Games</t>
  </si>
  <si>
    <t>$X off S&amp;C</t>
  </si>
  <si>
    <t>1/15-2/21</t>
  </si>
  <si>
    <t>1/20-2/28</t>
  </si>
  <si>
    <t>Store 130 close</t>
  </si>
  <si>
    <t>1/14-1/31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</si>
</sst>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_([$$-409]* #,##0.00_);_([$$-409]* \(#,##0.00\);_([$$-409]* &quot;-&quot;??_);_(@_)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3EAE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3EAE2"/>
        <bgColor rgb="FF000000"/>
      </patternFill>
    </fill>
    <fill>
      <patternFill patternType="solid">
        <fgColor rgb="FFE2EFDA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/>
    <xf numFmtId="8" fontId="0" fillId="2" borderId="5" xfId="0" applyNumberFormat="1" applyFill="1" applyBorder="1"/>
    <xf numFmtId="8" fontId="0" fillId="0" borderId="0" xfId="0" applyNumberFormat="1"/>
    <xf numFmtId="0" fontId="0" fillId="2" borderId="1" xfId="0" applyFill="1" applyBorder="1"/>
    <xf numFmtId="8" fontId="0" fillId="2" borderId="1" xfId="0" applyNumberFormat="1" applyFill="1" applyBorder="1"/>
    <xf numFmtId="0" fontId="0" fillId="3" borderId="1" xfId="0" applyFill="1" applyBorder="1"/>
    <xf numFmtId="0" fontId="0" fillId="3" borderId="0" xfId="0" applyFill="1"/>
    <xf numFmtId="0" fontId="0" fillId="2" borderId="1" xfId="0" applyFill="1" applyBorder="1" applyAlignment="1">
      <alignment wrapText="1"/>
    </xf>
    <xf numFmtId="164" fontId="0" fillId="0" borderId="0" xfId="0" applyNumberFormat="1" applyAlignment="1">
      <alignment horizontal="right"/>
    </xf>
    <xf numFmtId="0" fontId="0" fillId="2" borderId="2" xfId="0" applyFill="1" applyBorder="1" applyAlignment="1">
      <alignment horizontal="center" vertical="center" wrapText="1"/>
    </xf>
    <xf numFmtId="10" fontId="0" fillId="0" borderId="0" xfId="1" applyNumberFormat="1" applyFont="1"/>
    <xf numFmtId="0" fontId="1" fillId="0" borderId="0" xfId="0" applyFont="1"/>
    <xf numFmtId="1" fontId="0" fillId="2" borderId="1" xfId="0" applyNumberFormat="1" applyFill="1" applyBorder="1" applyAlignment="1">
      <alignment horizontal="right"/>
    </xf>
    <xf numFmtId="165" fontId="0" fillId="0" borderId="0" xfId="2" applyNumberFormat="1" applyFont="1" applyAlignment="1">
      <alignment horizontal="right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/>
    </xf>
    <xf numFmtId="164" fontId="0" fillId="4" borderId="5" xfId="0" applyNumberFormat="1" applyFill="1" applyBorder="1" applyAlignment="1">
      <alignment horizontal="left"/>
    </xf>
    <xf numFmtId="164" fontId="0" fillId="4" borderId="1" xfId="0" applyNumberFormat="1" applyFill="1" applyBorder="1" applyAlignment="1">
      <alignment horizontal="right"/>
    </xf>
    <xf numFmtId="10" fontId="0" fillId="4" borderId="5" xfId="1" applyNumberFormat="1" applyFont="1" applyFill="1" applyBorder="1"/>
    <xf numFmtId="10" fontId="0" fillId="4" borderId="1" xfId="1" applyNumberFormat="1" applyFont="1" applyFill="1" applyBorder="1" applyAlignment="1">
      <alignment horizontal="right"/>
    </xf>
    <xf numFmtId="0" fontId="0" fillId="4" borderId="5" xfId="0" applyFill="1" applyBorder="1"/>
    <xf numFmtId="165" fontId="0" fillId="4" borderId="1" xfId="2" applyNumberFormat="1" applyFont="1" applyFill="1" applyBorder="1" applyAlignment="1">
      <alignment horizontal="right"/>
    </xf>
    <xf numFmtId="16" fontId="0" fillId="2" borderId="3" xfId="0" applyNumberFormat="1" applyFill="1" applyBorder="1" applyAlignment="1">
      <alignment horizontal="center"/>
    </xf>
    <xf numFmtId="16" fontId="0" fillId="4" borderId="3" xfId="0" applyNumberFormat="1" applyFill="1" applyBorder="1" applyAlignment="1">
      <alignment horizontal="center"/>
    </xf>
    <xf numFmtId="0" fontId="0" fillId="4" borderId="6" xfId="0" applyFill="1" applyBorder="1"/>
    <xf numFmtId="164" fontId="0" fillId="0" borderId="0" xfId="2" applyNumberFormat="1" applyFont="1" applyAlignment="1">
      <alignment horizontal="right"/>
    </xf>
    <xf numFmtId="166" fontId="0" fillId="0" borderId="0" xfId="0" applyNumberFormat="1"/>
    <xf numFmtId="166" fontId="0" fillId="4" borderId="6" xfId="0" applyNumberFormat="1" applyFill="1" applyBorder="1"/>
    <xf numFmtId="164" fontId="0" fillId="4" borderId="7" xfId="0" applyNumberFormat="1" applyFill="1" applyBorder="1" applyAlignment="1">
      <alignment horizontal="right"/>
    </xf>
    <xf numFmtId="164" fontId="0" fillId="4" borderId="2" xfId="0" applyNumberFormat="1" applyFill="1" applyBorder="1" applyAlignment="1">
      <alignment horizontal="right"/>
    </xf>
    <xf numFmtId="0" fontId="0" fillId="2" borderId="6" xfId="0" applyFill="1" applyBorder="1" applyAlignment="1">
      <alignment wrapText="1"/>
    </xf>
    <xf numFmtId="8" fontId="0" fillId="2" borderId="6" xfId="0" applyNumberFormat="1" applyFill="1" applyBorder="1"/>
    <xf numFmtId="8" fontId="0" fillId="2" borderId="2" xfId="0" applyNumberFormat="1" applyFill="1" applyBorder="1"/>
    <xf numFmtId="0" fontId="1" fillId="5" borderId="0" xfId="0" applyFont="1" applyFill="1"/>
    <xf numFmtId="165" fontId="0" fillId="4" borderId="8" xfId="2" applyNumberFormat="1" applyFont="1" applyFill="1" applyBorder="1" applyAlignment="1">
      <alignment horizontal="right"/>
    </xf>
    <xf numFmtId="164" fontId="0" fillId="4" borderId="9" xfId="0" applyNumberFormat="1" applyFill="1" applyBorder="1" applyAlignment="1">
      <alignment horizontal="right"/>
    </xf>
    <xf numFmtId="166" fontId="0" fillId="4" borderId="10" xfId="0" applyNumberFormat="1" applyFill="1" applyBorder="1"/>
    <xf numFmtId="8" fontId="0" fillId="6" borderId="5" xfId="0" applyNumberFormat="1" applyFill="1" applyBorder="1"/>
    <xf numFmtId="8" fontId="0" fillId="6" borderId="1" xfId="0" applyNumberFormat="1" applyFill="1" applyBorder="1"/>
    <xf numFmtId="1" fontId="0" fillId="6" borderId="1" xfId="0" applyNumberFormat="1" applyFill="1" applyBorder="1" applyAlignment="1">
      <alignment horizontal="right"/>
    </xf>
    <xf numFmtId="8" fontId="0" fillId="6" borderId="2" xfId="0" applyNumberFormat="1" applyFill="1" applyBorder="1"/>
    <xf numFmtId="8" fontId="0" fillId="6" borderId="6" xfId="0" applyNumberFormat="1" applyFill="1" applyBorder="1"/>
    <xf numFmtId="165" fontId="0" fillId="0" borderId="0" xfId="0" applyNumberFormat="1"/>
    <xf numFmtId="0" fontId="3" fillId="7" borderId="1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164" fontId="0" fillId="4" borderId="6" xfId="0" applyNumberFormat="1" applyFill="1" applyBorder="1"/>
    <xf numFmtId="0" fontId="1" fillId="8" borderId="1" xfId="0" applyFont="1" applyFill="1" applyBorder="1" applyAlignment="1">
      <alignment horizontal="center"/>
    </xf>
    <xf numFmtId="0" fontId="0" fillId="8" borderId="2" xfId="0" applyFill="1" applyBorder="1" applyAlignment="1">
      <alignment horizontal="center" vertical="center" wrapText="1"/>
    </xf>
    <xf numFmtId="16" fontId="0" fillId="8" borderId="3" xfId="0" applyNumberFormat="1" applyFill="1" applyBorder="1" applyAlignment="1">
      <alignment horizontal="center"/>
    </xf>
    <xf numFmtId="8" fontId="0" fillId="8" borderId="5" xfId="0" applyNumberFormat="1" applyFill="1" applyBorder="1"/>
    <xf numFmtId="8" fontId="0" fillId="8" borderId="1" xfId="0" applyNumberFormat="1" applyFill="1" applyBorder="1"/>
    <xf numFmtId="1" fontId="0" fillId="8" borderId="1" xfId="0" applyNumberFormat="1" applyFill="1" applyBorder="1" applyAlignment="1">
      <alignment horizontal="right"/>
    </xf>
    <xf numFmtId="8" fontId="0" fillId="8" borderId="6" xfId="0" applyNumberFormat="1" applyFill="1" applyBorder="1"/>
    <xf numFmtId="0" fontId="1" fillId="6" borderId="1" xfId="0" applyFont="1" applyFill="1" applyBorder="1" applyAlignment="1">
      <alignment horizontal="center"/>
    </xf>
    <xf numFmtId="0" fontId="0" fillId="6" borderId="2" xfId="0" applyFill="1" applyBorder="1" applyAlignment="1">
      <alignment horizontal="center" vertical="center" wrapText="1"/>
    </xf>
    <xf numFmtId="16" fontId="0" fillId="6" borderId="3" xfId="0" applyNumberForma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F283-6CAD-4160-95C1-C90B68ABE8F1}">
  <dimension ref="A1:R111"/>
  <sheetViews>
    <sheetView workbookViewId="0">
      <pane xSplit="1" topLeftCell="I17" activePane="topRight" state="frozen"/>
      <selection pane="topRight" activeCell="G30" sqref="G30"/>
    </sheetView>
  </sheetViews>
  <sheetFormatPr defaultRowHeight="15"/>
  <cols>
    <col min="1" max="1" width="32.42578125" customWidth="1"/>
    <col min="2" max="3" width="20.7109375" customWidth="1"/>
    <col min="4" max="4" width="23.42578125" customWidth="1"/>
    <col min="5" max="5" width="22.28515625" customWidth="1"/>
    <col min="6" max="6" width="20.7109375" customWidth="1"/>
    <col min="7" max="15" width="19.85546875" customWidth="1"/>
    <col min="16" max="16" width="18.140625" customWidth="1"/>
    <col min="18" max="18" width="18.85546875" customWidth="1"/>
  </cols>
  <sheetData>
    <row r="1" spans="1:18">
      <c r="A1" s="43" t="s">
        <v>0</v>
      </c>
    </row>
    <row r="2" spans="1: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56" t="s">
        <v>12</v>
      </c>
      <c r="M2" s="56" t="s">
        <v>13</v>
      </c>
      <c r="N2" s="1" t="s">
        <v>2</v>
      </c>
      <c r="O2" s="63" t="s">
        <v>3</v>
      </c>
      <c r="P2" s="63" t="s">
        <v>4</v>
      </c>
      <c r="R2" s="2" t="s">
        <v>14</v>
      </c>
    </row>
    <row r="3" spans="1:18" ht="60.75">
      <c r="A3" s="3" t="s">
        <v>15</v>
      </c>
      <c r="B3" s="17" t="s">
        <v>16</v>
      </c>
      <c r="C3" s="17" t="s">
        <v>16</v>
      </c>
      <c r="D3" s="17" t="s">
        <v>16</v>
      </c>
      <c r="E3" s="17" t="s">
        <v>16</v>
      </c>
      <c r="F3" s="17" t="s">
        <v>16</v>
      </c>
      <c r="G3" s="17" t="s">
        <v>16</v>
      </c>
      <c r="H3" s="17" t="s">
        <v>16</v>
      </c>
      <c r="I3" s="17" t="s">
        <v>16</v>
      </c>
      <c r="J3" s="17" t="s">
        <v>16</v>
      </c>
      <c r="K3" s="17" t="s">
        <v>16</v>
      </c>
      <c r="L3" s="57" t="s">
        <v>16</v>
      </c>
      <c r="M3" s="57" t="s">
        <v>16</v>
      </c>
      <c r="N3" s="17" t="s">
        <v>16</v>
      </c>
      <c r="O3" s="64" t="s">
        <v>16</v>
      </c>
      <c r="P3" s="64" t="s">
        <v>16</v>
      </c>
      <c r="R3" s="5"/>
    </row>
    <row r="4" spans="1:18">
      <c r="A4" s="6" t="s">
        <v>17</v>
      </c>
      <c r="B4" s="32" t="s">
        <v>18</v>
      </c>
      <c r="C4" s="32" t="s">
        <v>19</v>
      </c>
      <c r="D4" s="32" t="s">
        <v>20</v>
      </c>
      <c r="E4" s="32" t="s">
        <v>21</v>
      </c>
      <c r="F4" s="32" t="s">
        <v>22</v>
      </c>
      <c r="G4" s="32" t="s">
        <v>23</v>
      </c>
      <c r="H4" s="32" t="s">
        <v>24</v>
      </c>
      <c r="I4" s="32" t="s">
        <v>25</v>
      </c>
      <c r="J4" s="32" t="s">
        <v>26</v>
      </c>
      <c r="K4" s="32" t="s">
        <v>27</v>
      </c>
      <c r="L4" s="58" t="s">
        <v>28</v>
      </c>
      <c r="M4" s="58" t="s">
        <v>29</v>
      </c>
      <c r="N4" s="32" t="s">
        <v>18</v>
      </c>
      <c r="O4" s="65" t="s">
        <v>19</v>
      </c>
      <c r="P4" s="65" t="s">
        <v>30</v>
      </c>
      <c r="R4" s="4"/>
    </row>
    <row r="5" spans="1:18">
      <c r="A5" s="8" t="s">
        <v>31</v>
      </c>
      <c r="B5" s="9">
        <v>10914.8</v>
      </c>
      <c r="C5" s="9">
        <v>6505.91</v>
      </c>
      <c r="D5" s="9">
        <v>6353.22</v>
      </c>
      <c r="E5" s="9">
        <v>10109.799999999999</v>
      </c>
      <c r="F5" s="9">
        <v>8933.1</v>
      </c>
      <c r="G5" s="9">
        <v>5931.45</v>
      </c>
      <c r="H5" s="9">
        <v>9055.77</v>
      </c>
      <c r="I5" s="9">
        <v>10322.93</v>
      </c>
      <c r="J5" s="9">
        <v>10164.58</v>
      </c>
      <c r="K5" s="9">
        <v>8118.82</v>
      </c>
      <c r="L5" s="59">
        <v>9617.4500000000007</v>
      </c>
      <c r="M5" s="59">
        <v>43361</v>
      </c>
      <c r="N5" s="9">
        <v>11135.31</v>
      </c>
      <c r="O5" s="9">
        <v>8187.26</v>
      </c>
      <c r="P5" s="9"/>
      <c r="R5" s="10">
        <f>SUM(B5:P5)</f>
        <v>158711.39999999997</v>
      </c>
    </row>
    <row r="6" spans="1:18">
      <c r="A6" s="11" t="s">
        <v>32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60"/>
      <c r="M6" s="60"/>
      <c r="N6" s="12"/>
      <c r="O6" s="12"/>
      <c r="P6" s="12"/>
      <c r="R6" s="10">
        <f>SUM(B6:P6)</f>
        <v>0</v>
      </c>
    </row>
    <row r="7" spans="1:18">
      <c r="A7" s="11" t="s">
        <v>33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60"/>
      <c r="M7" s="60"/>
      <c r="N7" s="12"/>
      <c r="O7" s="12"/>
      <c r="P7" s="12"/>
      <c r="R7" s="10">
        <f>SUM(B7:P7)</f>
        <v>0</v>
      </c>
    </row>
    <row r="8" spans="1:18">
      <c r="A8" s="11" t="s">
        <v>34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60"/>
      <c r="M8" s="60"/>
      <c r="N8" s="12"/>
      <c r="O8" s="12"/>
      <c r="P8" s="12"/>
      <c r="R8" s="10">
        <f>SUM(B8:P8)</f>
        <v>0</v>
      </c>
    </row>
    <row r="9" spans="1:18">
      <c r="A9" s="11" t="s">
        <v>35</v>
      </c>
      <c r="B9" s="12">
        <f t="shared" ref="B9:M9" si="0">B5-B6-B7</f>
        <v>10914.8</v>
      </c>
      <c r="C9" s="12">
        <f t="shared" si="0"/>
        <v>6505.91</v>
      </c>
      <c r="D9" s="12">
        <f t="shared" si="0"/>
        <v>6353.22</v>
      </c>
      <c r="E9" s="12">
        <f t="shared" si="0"/>
        <v>10109.799999999999</v>
      </c>
      <c r="F9" s="12">
        <f t="shared" si="0"/>
        <v>8933.1</v>
      </c>
      <c r="G9" s="12">
        <f t="shared" si="0"/>
        <v>5931.45</v>
      </c>
      <c r="H9" s="12">
        <f t="shared" si="0"/>
        <v>9055.77</v>
      </c>
      <c r="I9" s="12">
        <f t="shared" si="0"/>
        <v>10322.93</v>
      </c>
      <c r="J9" s="12">
        <f t="shared" si="0"/>
        <v>10164.58</v>
      </c>
      <c r="K9" s="12">
        <f t="shared" si="0"/>
        <v>8118.82</v>
      </c>
      <c r="L9" s="60">
        <f t="shared" si="0"/>
        <v>9617.4500000000007</v>
      </c>
      <c r="M9" s="60">
        <f t="shared" si="0"/>
        <v>43361</v>
      </c>
      <c r="N9" s="12">
        <f>N5-N6-N7</f>
        <v>11135.31</v>
      </c>
      <c r="O9" s="12">
        <f>O5-O6-O7</f>
        <v>8187.26</v>
      </c>
      <c r="P9" s="12">
        <f>P5-P6-P7</f>
        <v>0</v>
      </c>
      <c r="R9" s="10">
        <f>SUM(E9:P9)</f>
        <v>134937.47</v>
      </c>
    </row>
    <row r="10" spans="1:18" ht="4.7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R10" s="14"/>
    </row>
    <row r="11" spans="1:18">
      <c r="A11" s="11" t="s">
        <v>36</v>
      </c>
      <c r="B11" s="20">
        <v>134</v>
      </c>
      <c r="C11" s="20">
        <v>86</v>
      </c>
      <c r="D11" s="20">
        <v>77</v>
      </c>
      <c r="E11" s="20">
        <v>129</v>
      </c>
      <c r="F11" s="20">
        <v>134</v>
      </c>
      <c r="G11" s="20">
        <v>73</v>
      </c>
      <c r="H11" s="20">
        <v>122</v>
      </c>
      <c r="I11" s="20">
        <v>139</v>
      </c>
      <c r="J11" s="20">
        <v>121</v>
      </c>
      <c r="K11" s="20">
        <v>124</v>
      </c>
      <c r="L11" s="61">
        <v>116</v>
      </c>
      <c r="M11" s="61">
        <v>427</v>
      </c>
      <c r="N11" s="20">
        <v>140</v>
      </c>
      <c r="O11" s="20">
        <v>114</v>
      </c>
      <c r="P11" s="20"/>
      <c r="R11" s="52">
        <f>SUM(B11:P11)</f>
        <v>1936</v>
      </c>
    </row>
    <row r="12" spans="1:18">
      <c r="A12" s="11" t="s">
        <v>37</v>
      </c>
      <c r="B12" s="12">
        <f t="shared" ref="B12:M12" si="1">B5/B11</f>
        <v>81.453731343283579</v>
      </c>
      <c r="C12" s="12">
        <f t="shared" si="1"/>
        <v>75.650116279069763</v>
      </c>
      <c r="D12" s="12">
        <f t="shared" si="1"/>
        <v>82.509350649350651</v>
      </c>
      <c r="E12" s="12">
        <f t="shared" si="1"/>
        <v>78.370542635658907</v>
      </c>
      <c r="F12" s="12">
        <f t="shared" si="1"/>
        <v>66.664925373134338</v>
      </c>
      <c r="G12" s="12">
        <f t="shared" si="1"/>
        <v>81.2527397260274</v>
      </c>
      <c r="H12" s="12">
        <f t="shared" si="1"/>
        <v>74.227622950819679</v>
      </c>
      <c r="I12" s="12">
        <f t="shared" si="1"/>
        <v>74.265683453237415</v>
      </c>
      <c r="J12" s="12">
        <f t="shared" si="1"/>
        <v>84.004793388429746</v>
      </c>
      <c r="K12" s="12">
        <f t="shared" si="1"/>
        <v>65.474354838709672</v>
      </c>
      <c r="L12" s="60">
        <f t="shared" si="1"/>
        <v>82.909051724137939</v>
      </c>
      <c r="M12" s="60">
        <f t="shared" si="1"/>
        <v>101.5480093676815</v>
      </c>
      <c r="N12" s="12">
        <f>N5/N11</f>
        <v>79.537928571428566</v>
      </c>
      <c r="O12" s="12">
        <f>O5/O11</f>
        <v>71.818070175438592</v>
      </c>
      <c r="P12" s="12" t="e">
        <f>P5/P11</f>
        <v>#DIV/0!</v>
      </c>
      <c r="R12" s="10" t="e">
        <f>AVERAGE(B12:P12)</f>
        <v>#DIV/0!</v>
      </c>
    </row>
    <row r="13" spans="1:18">
      <c r="A13" s="11" t="s">
        <v>38</v>
      </c>
      <c r="B13" s="12">
        <f t="shared" ref="B13:M13" si="2">(B5-B6)/B11</f>
        <v>81.453731343283579</v>
      </c>
      <c r="C13" s="12">
        <f t="shared" si="2"/>
        <v>75.650116279069763</v>
      </c>
      <c r="D13" s="12">
        <f t="shared" si="2"/>
        <v>82.509350649350651</v>
      </c>
      <c r="E13" s="12">
        <f t="shared" si="2"/>
        <v>78.370542635658907</v>
      </c>
      <c r="F13" s="12">
        <f t="shared" si="2"/>
        <v>66.664925373134338</v>
      </c>
      <c r="G13" s="12">
        <f t="shared" si="2"/>
        <v>81.2527397260274</v>
      </c>
      <c r="H13" s="12">
        <f t="shared" si="2"/>
        <v>74.227622950819679</v>
      </c>
      <c r="I13" s="12">
        <f t="shared" si="2"/>
        <v>74.265683453237415</v>
      </c>
      <c r="J13" s="12">
        <f t="shared" si="2"/>
        <v>84.004793388429746</v>
      </c>
      <c r="K13" s="12">
        <f t="shared" si="2"/>
        <v>65.474354838709672</v>
      </c>
      <c r="L13" s="60">
        <f t="shared" si="2"/>
        <v>82.909051724137939</v>
      </c>
      <c r="M13" s="60">
        <f t="shared" si="2"/>
        <v>101.5480093676815</v>
      </c>
      <c r="N13" s="12">
        <f>(N5-N6)/N11</f>
        <v>79.537928571428566</v>
      </c>
      <c r="O13" s="12">
        <f>(O5-O6)/O11</f>
        <v>71.818070175438592</v>
      </c>
      <c r="P13" s="12" t="e">
        <f>(P5-P6)/P11</f>
        <v>#DIV/0!</v>
      </c>
      <c r="R13" s="10" t="e">
        <f>AVERAGE(B13:P13)</f>
        <v>#DIV/0!</v>
      </c>
    </row>
    <row r="14" spans="1:18" ht="31.7" customHeight="1">
      <c r="A14" s="15" t="s">
        <v>39</v>
      </c>
      <c r="B14" s="12">
        <f t="shared" ref="B14:M14" si="3">(B5-B6-B7)/B11</f>
        <v>81.453731343283579</v>
      </c>
      <c r="C14" s="12">
        <f t="shared" si="3"/>
        <v>75.650116279069763</v>
      </c>
      <c r="D14" s="12">
        <f t="shared" si="3"/>
        <v>82.509350649350651</v>
      </c>
      <c r="E14" s="12">
        <f t="shared" si="3"/>
        <v>78.370542635658907</v>
      </c>
      <c r="F14" s="12">
        <f t="shared" si="3"/>
        <v>66.664925373134338</v>
      </c>
      <c r="G14" s="12">
        <f t="shared" si="3"/>
        <v>81.2527397260274</v>
      </c>
      <c r="H14" s="12">
        <f t="shared" si="3"/>
        <v>74.227622950819679</v>
      </c>
      <c r="I14" s="12">
        <f t="shared" si="3"/>
        <v>74.265683453237415</v>
      </c>
      <c r="J14" s="12">
        <f t="shared" si="3"/>
        <v>84.004793388429746</v>
      </c>
      <c r="K14" s="12">
        <f t="shared" si="3"/>
        <v>65.474354838709672</v>
      </c>
      <c r="L14" s="60">
        <f t="shared" si="3"/>
        <v>82.909051724137939</v>
      </c>
      <c r="M14" s="60">
        <f t="shared" si="3"/>
        <v>101.5480093676815</v>
      </c>
      <c r="N14" s="12">
        <f>(N5-N6-N7)/N11</f>
        <v>79.537928571428566</v>
      </c>
      <c r="O14" s="12">
        <f>(O5-O6-O7)/O11</f>
        <v>71.818070175438592</v>
      </c>
      <c r="P14" s="12" t="e">
        <f>(P5-P6-P7)/P11</f>
        <v>#DIV/0!</v>
      </c>
      <c r="R14" s="10" t="e">
        <f>AVERAGE(B14:P14)</f>
        <v>#DIV/0!</v>
      </c>
    </row>
    <row r="15" spans="1:18" ht="6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R15" s="14"/>
    </row>
    <row r="16" spans="1:18" ht="30" customHeight="1">
      <c r="A16" s="15" t="s">
        <v>40</v>
      </c>
      <c r="B16" s="12">
        <f t="shared" ref="B16:M16" si="4">B12-B14</f>
        <v>0</v>
      </c>
      <c r="C16" s="12">
        <f t="shared" si="4"/>
        <v>0</v>
      </c>
      <c r="D16" s="12">
        <f t="shared" si="4"/>
        <v>0</v>
      </c>
      <c r="E16" s="12">
        <f t="shared" si="4"/>
        <v>0</v>
      </c>
      <c r="F16" s="12">
        <f t="shared" si="4"/>
        <v>0</v>
      </c>
      <c r="G16" s="12">
        <f t="shared" si="4"/>
        <v>0</v>
      </c>
      <c r="H16" s="12">
        <f t="shared" si="4"/>
        <v>0</v>
      </c>
      <c r="I16" s="12">
        <f t="shared" si="4"/>
        <v>0</v>
      </c>
      <c r="J16" s="12">
        <f t="shared" si="4"/>
        <v>0</v>
      </c>
      <c r="K16" s="12">
        <f t="shared" si="4"/>
        <v>0</v>
      </c>
      <c r="L16" s="60">
        <f t="shared" si="4"/>
        <v>0</v>
      </c>
      <c r="M16" s="60">
        <f t="shared" si="4"/>
        <v>0</v>
      </c>
      <c r="N16" s="12">
        <f>N12-N14</f>
        <v>0</v>
      </c>
      <c r="O16" s="12">
        <f>O12-O14</f>
        <v>0</v>
      </c>
      <c r="P16" s="12" t="e">
        <f>P12-P14</f>
        <v>#DIV/0!</v>
      </c>
      <c r="R16" s="10" t="e">
        <f>SUM(B16:P16)</f>
        <v>#DIV/0!</v>
      </c>
    </row>
    <row r="17" spans="1:18" ht="30" customHeight="1">
      <c r="A17" s="15" t="s">
        <v>41</v>
      </c>
      <c r="B17" s="12">
        <f t="shared" ref="B17:M17" si="5">B13-B14</f>
        <v>0</v>
      </c>
      <c r="C17" s="12">
        <f t="shared" si="5"/>
        <v>0</v>
      </c>
      <c r="D17" s="12">
        <f t="shared" si="5"/>
        <v>0</v>
      </c>
      <c r="E17" s="12">
        <f t="shared" si="5"/>
        <v>0</v>
      </c>
      <c r="F17" s="12">
        <f t="shared" si="5"/>
        <v>0</v>
      </c>
      <c r="G17" s="12">
        <f t="shared" si="5"/>
        <v>0</v>
      </c>
      <c r="H17" s="12">
        <f t="shared" si="5"/>
        <v>0</v>
      </c>
      <c r="I17" s="12">
        <f t="shared" si="5"/>
        <v>0</v>
      </c>
      <c r="J17" s="12">
        <f t="shared" si="5"/>
        <v>0</v>
      </c>
      <c r="K17" s="12">
        <f t="shared" si="5"/>
        <v>0</v>
      </c>
      <c r="L17" s="60">
        <f t="shared" si="5"/>
        <v>0</v>
      </c>
      <c r="M17" s="60">
        <f t="shared" si="5"/>
        <v>0</v>
      </c>
      <c r="N17" s="12">
        <f>N13-N14</f>
        <v>0</v>
      </c>
      <c r="O17" s="12">
        <f>O13-O14</f>
        <v>0</v>
      </c>
      <c r="P17" s="12" t="e">
        <f>P13-P14</f>
        <v>#DIV/0!</v>
      </c>
      <c r="R17" s="10" t="e">
        <f>SUM(B17:P17)</f>
        <v>#DIV/0!</v>
      </c>
    </row>
    <row r="18" spans="1:18">
      <c r="A18" s="40" t="s">
        <v>42</v>
      </c>
      <c r="B18" s="41">
        <f t="shared" ref="B18:M18" si="6">B5/B11</f>
        <v>81.453731343283579</v>
      </c>
      <c r="C18" s="41">
        <f t="shared" si="6"/>
        <v>75.650116279069763</v>
      </c>
      <c r="D18" s="41">
        <f t="shared" si="6"/>
        <v>82.509350649350651</v>
      </c>
      <c r="E18" s="41">
        <f t="shared" si="6"/>
        <v>78.370542635658907</v>
      </c>
      <c r="F18" s="41">
        <f t="shared" si="6"/>
        <v>66.664925373134338</v>
      </c>
      <c r="G18" s="41">
        <f t="shared" si="6"/>
        <v>81.2527397260274</v>
      </c>
      <c r="H18" s="41">
        <f t="shared" si="6"/>
        <v>74.227622950819679</v>
      </c>
      <c r="I18" s="41">
        <f t="shared" si="6"/>
        <v>74.265683453237415</v>
      </c>
      <c r="J18" s="41">
        <f t="shared" si="6"/>
        <v>84.004793388429746</v>
      </c>
      <c r="K18" s="41">
        <f t="shared" si="6"/>
        <v>65.474354838709672</v>
      </c>
      <c r="L18" s="62">
        <f t="shared" si="6"/>
        <v>82.909051724137939</v>
      </c>
      <c r="M18" s="62">
        <f t="shared" si="6"/>
        <v>101.5480093676815</v>
      </c>
      <c r="N18" s="41">
        <f>N5/N11</f>
        <v>79.537928571428566</v>
      </c>
      <c r="O18" s="41">
        <f>O5/O11</f>
        <v>71.818070175438592</v>
      </c>
      <c r="P18" s="41" t="e">
        <f>P5/P11</f>
        <v>#DIV/0!</v>
      </c>
      <c r="R18" s="10">
        <f>R5/R11</f>
        <v>81.979028925619815</v>
      </c>
    </row>
    <row r="19" spans="1:18">
      <c r="R19" s="10"/>
    </row>
    <row r="20" spans="1:18">
      <c r="A20" s="22" t="s">
        <v>43</v>
      </c>
      <c r="B20" s="22" t="s">
        <v>2</v>
      </c>
      <c r="C20" s="22" t="s">
        <v>3</v>
      </c>
      <c r="D20" s="22" t="s">
        <v>4</v>
      </c>
      <c r="E20" s="22" t="s">
        <v>5</v>
      </c>
      <c r="F20" s="22" t="s">
        <v>6</v>
      </c>
      <c r="G20" s="22" t="s">
        <v>7</v>
      </c>
      <c r="H20" s="22" t="s">
        <v>8</v>
      </c>
      <c r="I20" s="22" t="s">
        <v>9</v>
      </c>
      <c r="J20" s="22" t="s">
        <v>10</v>
      </c>
      <c r="K20" s="22" t="s">
        <v>11</v>
      </c>
      <c r="L20" s="22" t="s">
        <v>12</v>
      </c>
      <c r="M20" s="22" t="s">
        <v>13</v>
      </c>
      <c r="N20" s="22" t="s">
        <v>2</v>
      </c>
      <c r="O20" s="22" t="s">
        <v>3</v>
      </c>
      <c r="P20" s="22" t="s">
        <v>4</v>
      </c>
      <c r="R20" s="2"/>
    </row>
    <row r="21" spans="1:18" ht="78.75" customHeight="1">
      <c r="A21" s="23" t="s">
        <v>15</v>
      </c>
      <c r="B21" s="24" t="s">
        <v>16</v>
      </c>
      <c r="C21" s="24" t="s">
        <v>16</v>
      </c>
      <c r="D21" s="24" t="s">
        <v>16</v>
      </c>
      <c r="E21" s="24" t="s">
        <v>16</v>
      </c>
      <c r="F21" s="24" t="s">
        <v>16</v>
      </c>
      <c r="G21" s="24" t="s">
        <v>16</v>
      </c>
      <c r="H21" s="24" t="s">
        <v>16</v>
      </c>
      <c r="I21" s="24" t="s">
        <v>16</v>
      </c>
      <c r="J21" s="24" t="s">
        <v>16</v>
      </c>
      <c r="K21" s="24" t="s">
        <v>16</v>
      </c>
      <c r="L21" s="24" t="s">
        <v>16</v>
      </c>
      <c r="M21" s="24" t="s">
        <v>16</v>
      </c>
      <c r="N21" s="24" t="s">
        <v>16</v>
      </c>
      <c r="O21" s="24" t="s">
        <v>16</v>
      </c>
      <c r="P21" s="24" t="s">
        <v>16</v>
      </c>
      <c r="R21" s="5"/>
    </row>
    <row r="22" spans="1:18">
      <c r="A22" s="25" t="s">
        <v>17</v>
      </c>
      <c r="B22" s="33" t="s">
        <v>18</v>
      </c>
      <c r="C22" s="33" t="s">
        <v>19</v>
      </c>
      <c r="D22" s="33" t="s">
        <v>20</v>
      </c>
      <c r="E22" s="33" t="s">
        <v>21</v>
      </c>
      <c r="F22" s="33" t="s">
        <v>22</v>
      </c>
      <c r="G22" s="33" t="s">
        <v>23</v>
      </c>
      <c r="H22" s="33" t="s">
        <v>24</v>
      </c>
      <c r="I22" s="33" t="s">
        <v>25</v>
      </c>
      <c r="J22" s="33" t="s">
        <v>26</v>
      </c>
      <c r="K22" s="33" t="s">
        <v>27</v>
      </c>
      <c r="L22" s="33" t="s">
        <v>28</v>
      </c>
      <c r="M22" s="33" t="s">
        <v>29</v>
      </c>
      <c r="N22" s="33" t="s">
        <v>18</v>
      </c>
      <c r="O22" s="33" t="s">
        <v>19</v>
      </c>
      <c r="P22" s="33" t="s">
        <v>30</v>
      </c>
      <c r="R22" s="7"/>
    </row>
    <row r="23" spans="1:18">
      <c r="A23" s="26" t="s">
        <v>44</v>
      </c>
      <c r="B23" s="27">
        <v>121247.91</v>
      </c>
      <c r="C23" s="27">
        <v>133420.87</v>
      </c>
      <c r="D23" s="27">
        <v>156710.22</v>
      </c>
      <c r="E23" s="27">
        <v>151251.5</v>
      </c>
      <c r="F23" s="27">
        <v>141722.38</v>
      </c>
      <c r="G23" s="27">
        <v>114191.94</v>
      </c>
      <c r="H23" s="27">
        <v>138025.23000000001</v>
      </c>
      <c r="I23" s="27">
        <v>141757.1</v>
      </c>
      <c r="J23" s="27">
        <v>133644.09</v>
      </c>
      <c r="K23" s="27">
        <v>159827.60999999999</v>
      </c>
      <c r="L23" s="27">
        <v>152056.04</v>
      </c>
      <c r="M23" s="27">
        <v>180009.38</v>
      </c>
      <c r="N23" s="27">
        <v>136603.5</v>
      </c>
      <c r="O23" s="27">
        <v>139800.04999999999</v>
      </c>
      <c r="P23" s="27">
        <v>155432.89000000001</v>
      </c>
      <c r="R23" s="16">
        <f>SUM(B23:P23)</f>
        <v>2155700.71</v>
      </c>
    </row>
    <row r="24" spans="1:18">
      <c r="A24" s="28" t="s">
        <v>45</v>
      </c>
      <c r="B24" s="29">
        <v>0.13200000000000001</v>
      </c>
      <c r="C24" s="29">
        <v>0.12529999999999999</v>
      </c>
      <c r="D24" s="29">
        <v>0.13250000000000001</v>
      </c>
      <c r="E24" s="29">
        <v>0.13719999999999999</v>
      </c>
      <c r="F24" s="29">
        <v>0.13639999999999999</v>
      </c>
      <c r="G24" s="29">
        <v>0.1268</v>
      </c>
      <c r="H24" s="29">
        <v>0.12529999999999999</v>
      </c>
      <c r="I24" s="29">
        <v>0.13089999999999999</v>
      </c>
      <c r="J24" s="29">
        <v>0.12540000000000001</v>
      </c>
      <c r="K24" s="29">
        <v>0.11509999999999999</v>
      </c>
      <c r="L24" s="29">
        <v>0.1187</v>
      </c>
      <c r="M24" s="29">
        <v>0.12039999999999999</v>
      </c>
      <c r="N24" s="29">
        <v>0.1203</v>
      </c>
      <c r="O24" s="29">
        <v>0.1205</v>
      </c>
      <c r="P24" s="29">
        <v>0.11650000000000001</v>
      </c>
      <c r="R24" s="18">
        <f>AVERAGE(B24:P24)</f>
        <v>0.12555333333333332</v>
      </c>
    </row>
    <row r="25" spans="1:18">
      <c r="A25" s="30" t="s">
        <v>46</v>
      </c>
      <c r="B25" s="31">
        <v>1790</v>
      </c>
      <c r="C25" s="31">
        <v>1834</v>
      </c>
      <c r="D25" s="31">
        <v>2287</v>
      </c>
      <c r="E25" s="31">
        <v>2190</v>
      </c>
      <c r="F25" s="31">
        <v>2040</v>
      </c>
      <c r="G25" s="31">
        <v>1678</v>
      </c>
      <c r="H25" s="31">
        <v>2121</v>
      </c>
      <c r="I25" s="31">
        <v>2107</v>
      </c>
      <c r="J25" s="31">
        <v>2054</v>
      </c>
      <c r="K25" s="31">
        <v>2377</v>
      </c>
      <c r="L25" s="31">
        <v>2196</v>
      </c>
      <c r="M25" s="31">
        <v>2381</v>
      </c>
      <c r="N25" s="31">
        <v>2112</v>
      </c>
      <c r="O25" s="31">
        <v>2086</v>
      </c>
      <c r="P25" s="31">
        <v>2302</v>
      </c>
      <c r="R25" s="21">
        <f>SUM(B25:P25)</f>
        <v>31555</v>
      </c>
    </row>
    <row r="26" spans="1:18">
      <c r="A26" s="34" t="s">
        <v>47</v>
      </c>
      <c r="B26" s="27">
        <v>12528.99</v>
      </c>
      <c r="C26" s="27">
        <v>12830.96</v>
      </c>
      <c r="D26" s="27">
        <v>16006.96</v>
      </c>
      <c r="E26" s="27">
        <f>7*E25</f>
        <v>15330</v>
      </c>
      <c r="F26" s="27">
        <f>7*F25</f>
        <v>14280</v>
      </c>
      <c r="G26" s="27">
        <v>11746</v>
      </c>
      <c r="H26" s="27">
        <v>14840.85</v>
      </c>
      <c r="I26" s="27">
        <v>14736.67</v>
      </c>
      <c r="J26" s="27"/>
      <c r="K26" s="27"/>
      <c r="L26" s="27"/>
      <c r="M26" s="27"/>
      <c r="N26" s="27"/>
      <c r="O26" s="27"/>
      <c r="P26" s="27"/>
      <c r="R26" s="35">
        <f>SUM(B26:P26)</f>
        <v>112300.43000000001</v>
      </c>
    </row>
    <row r="27" spans="1:18">
      <c r="A27" s="34" t="s">
        <v>42</v>
      </c>
      <c r="B27" s="37">
        <f t="shared" ref="B27:D27" si="7">B23/B25</f>
        <v>67.736262569832405</v>
      </c>
      <c r="C27" s="37">
        <f t="shared" si="7"/>
        <v>72.74856597600872</v>
      </c>
      <c r="D27" s="37">
        <f t="shared" si="7"/>
        <v>68.522177525142112</v>
      </c>
      <c r="E27" s="37">
        <f>E23/E25</f>
        <v>69.064611872146116</v>
      </c>
      <c r="F27" s="37">
        <f>F23/F25</f>
        <v>69.471754901960793</v>
      </c>
      <c r="G27" s="37">
        <f>G23/G25</f>
        <v>68.052407628128719</v>
      </c>
      <c r="H27" s="37">
        <f>H23/H25</f>
        <v>65.075544554455448</v>
      </c>
      <c r="I27" s="37">
        <f>I23/I25</f>
        <v>67.279117228286665</v>
      </c>
      <c r="J27" s="37">
        <f t="shared" ref="J27:K27" si="8">J23/J25</f>
        <v>65.065282375851993</v>
      </c>
      <c r="K27" s="37">
        <f t="shared" si="8"/>
        <v>67.239213294068151</v>
      </c>
      <c r="L27" s="37">
        <f>L23/L25</f>
        <v>69.242276867030967</v>
      </c>
      <c r="M27" s="37">
        <f>M23/M25</f>
        <v>75.602427551448969</v>
      </c>
      <c r="N27" s="37">
        <f t="shared" ref="N27:P27" si="9">N23/N25</f>
        <v>64.6796875</v>
      </c>
      <c r="O27" s="37">
        <f t="shared" ref="O27" si="10">O23/O25</f>
        <v>67.018240651965485</v>
      </c>
      <c r="P27" s="37">
        <f t="shared" si="9"/>
        <v>67.520803649000868</v>
      </c>
      <c r="R27" s="36">
        <f>R23/R25</f>
        <v>68.31566186024402</v>
      </c>
    </row>
    <row r="29" spans="1:18">
      <c r="A29" s="43" t="s">
        <v>48</v>
      </c>
    </row>
    <row r="30" spans="1:18">
      <c r="A30" s="1" t="s">
        <v>1</v>
      </c>
      <c r="B30" s="1" t="s">
        <v>49</v>
      </c>
      <c r="C30" s="1" t="s">
        <v>50</v>
      </c>
      <c r="D30" s="1" t="s">
        <v>51</v>
      </c>
      <c r="E30" s="1" t="s">
        <v>52</v>
      </c>
      <c r="F30" s="1" t="s">
        <v>53</v>
      </c>
      <c r="G30" s="63" t="s">
        <v>54</v>
      </c>
      <c r="H30" s="1"/>
    </row>
    <row r="31" spans="1:18" ht="60.75">
      <c r="A31" s="3" t="s">
        <v>15</v>
      </c>
      <c r="B31" s="17" t="s">
        <v>55</v>
      </c>
      <c r="C31" s="17" t="s">
        <v>56</v>
      </c>
      <c r="D31" s="17" t="s">
        <v>55</v>
      </c>
      <c r="E31" s="17" t="s">
        <v>57</v>
      </c>
      <c r="F31" s="53" t="s">
        <v>58</v>
      </c>
      <c r="G31" s="64" t="s">
        <v>59</v>
      </c>
      <c r="H31" s="17"/>
    </row>
    <row r="32" spans="1:18">
      <c r="A32" s="6" t="s">
        <v>17</v>
      </c>
      <c r="B32" s="32" t="s">
        <v>60</v>
      </c>
      <c r="C32" s="32" t="s">
        <v>60</v>
      </c>
      <c r="D32" s="32" t="s">
        <v>60</v>
      </c>
      <c r="E32" s="32" t="s">
        <v>61</v>
      </c>
      <c r="F32" s="32" t="s">
        <v>62</v>
      </c>
      <c r="G32" s="65"/>
      <c r="H32" s="32"/>
    </row>
    <row r="33" spans="1:8">
      <c r="A33" s="8" t="s">
        <v>31</v>
      </c>
      <c r="B33" s="9">
        <v>1890.54</v>
      </c>
      <c r="C33" s="9">
        <v>362.31</v>
      </c>
      <c r="D33" s="9">
        <v>1330</v>
      </c>
      <c r="E33" s="9">
        <v>561.5</v>
      </c>
      <c r="F33" s="9">
        <v>704.34</v>
      </c>
      <c r="G33" s="9"/>
      <c r="H33" s="47"/>
    </row>
    <row r="34" spans="1:8">
      <c r="A34" s="11" t="s">
        <v>32</v>
      </c>
      <c r="B34" s="12"/>
      <c r="C34" s="12"/>
      <c r="D34" s="12"/>
      <c r="E34" s="12"/>
      <c r="F34" s="12"/>
      <c r="G34" s="12"/>
      <c r="H34" s="48"/>
    </row>
    <row r="35" spans="1:8">
      <c r="A35" s="11" t="s">
        <v>33</v>
      </c>
      <c r="B35" s="12"/>
      <c r="C35" s="12"/>
      <c r="D35" s="12"/>
      <c r="E35" s="12"/>
      <c r="F35" s="12"/>
      <c r="G35" s="12"/>
      <c r="H35" s="48"/>
    </row>
    <row r="36" spans="1:8">
      <c r="A36" s="11" t="s">
        <v>34</v>
      </c>
      <c r="B36" s="12"/>
      <c r="C36" s="12"/>
      <c r="D36" s="12"/>
      <c r="E36" s="12"/>
      <c r="F36" s="12"/>
      <c r="G36" s="12"/>
      <c r="H36" s="48"/>
    </row>
    <row r="37" spans="1:8">
      <c r="A37" s="11" t="s">
        <v>35</v>
      </c>
      <c r="B37" s="12">
        <f t="shared" ref="B37:E37" si="11">B33-B34-B35</f>
        <v>1890.54</v>
      </c>
      <c r="C37" s="12">
        <f t="shared" si="11"/>
        <v>362.31</v>
      </c>
      <c r="D37" s="12">
        <f t="shared" si="11"/>
        <v>1330</v>
      </c>
      <c r="E37" s="12">
        <f t="shared" si="11"/>
        <v>561.5</v>
      </c>
      <c r="F37" s="12">
        <f>F33-F34-F35</f>
        <v>704.34</v>
      </c>
      <c r="G37" s="12">
        <f>G33-G34-G35</f>
        <v>0</v>
      </c>
      <c r="H37" s="48"/>
    </row>
    <row r="38" spans="1:8">
      <c r="A38" s="13"/>
      <c r="B38" s="13"/>
      <c r="C38" s="13"/>
      <c r="D38" s="13"/>
      <c r="E38" s="13"/>
      <c r="F38" s="13"/>
      <c r="G38" s="13"/>
      <c r="H38" s="13"/>
    </row>
    <row r="39" spans="1:8">
      <c r="A39" s="11" t="s">
        <v>36</v>
      </c>
      <c r="B39" s="20">
        <v>29</v>
      </c>
      <c r="C39" s="20">
        <v>4</v>
      </c>
      <c r="D39" s="20">
        <v>16</v>
      </c>
      <c r="E39" s="20">
        <v>9</v>
      </c>
      <c r="F39" s="20">
        <v>9</v>
      </c>
      <c r="G39" s="20"/>
      <c r="H39" s="49"/>
    </row>
    <row r="40" spans="1:8">
      <c r="A40" s="11" t="s">
        <v>37</v>
      </c>
      <c r="B40" s="12">
        <f t="shared" ref="B40:E40" si="12">B33/B39</f>
        <v>65.191034482758624</v>
      </c>
      <c r="C40" s="12">
        <f t="shared" si="12"/>
        <v>90.577500000000001</v>
      </c>
      <c r="D40" s="12">
        <f t="shared" si="12"/>
        <v>83.125</v>
      </c>
      <c r="E40" s="12">
        <f t="shared" si="12"/>
        <v>62.388888888888886</v>
      </c>
      <c r="F40" s="12">
        <f>F33/F39</f>
        <v>78.260000000000005</v>
      </c>
      <c r="G40" s="12" t="e">
        <f>G33/G39</f>
        <v>#DIV/0!</v>
      </c>
      <c r="H40" s="48"/>
    </row>
    <row r="41" spans="1:8">
      <c r="A41" s="11" t="s">
        <v>38</v>
      </c>
      <c r="B41" s="12">
        <f t="shared" ref="B41:E41" si="13">(B33-B34)/B39</f>
        <v>65.191034482758624</v>
      </c>
      <c r="C41" s="12">
        <f t="shared" si="13"/>
        <v>90.577500000000001</v>
      </c>
      <c r="D41" s="12">
        <f t="shared" si="13"/>
        <v>83.125</v>
      </c>
      <c r="E41" s="12">
        <f t="shared" si="13"/>
        <v>62.388888888888886</v>
      </c>
      <c r="F41" s="12">
        <f>(F33-F34)/F39</f>
        <v>78.260000000000005</v>
      </c>
      <c r="G41" s="12" t="e">
        <f>(G33-G34)/G39</f>
        <v>#DIV/0!</v>
      </c>
      <c r="H41" s="48"/>
    </row>
    <row r="42" spans="1:8" ht="30.75">
      <c r="A42" s="15" t="s">
        <v>39</v>
      </c>
      <c r="B42" s="12">
        <f t="shared" ref="B42:E42" si="14">(B33-B34-B35)/B39</f>
        <v>65.191034482758624</v>
      </c>
      <c r="C42" s="12">
        <f t="shared" si="14"/>
        <v>90.577500000000001</v>
      </c>
      <c r="D42" s="12">
        <f t="shared" si="14"/>
        <v>83.125</v>
      </c>
      <c r="E42" s="12">
        <f t="shared" si="14"/>
        <v>62.388888888888886</v>
      </c>
      <c r="F42" s="12">
        <f>(F33-F34-F35)/F39</f>
        <v>78.260000000000005</v>
      </c>
      <c r="G42" s="12" t="e">
        <f>(G33-G34-G35)/G39</f>
        <v>#DIV/0!</v>
      </c>
      <c r="H42" s="48"/>
    </row>
    <row r="43" spans="1:8">
      <c r="A43" s="13"/>
      <c r="B43" s="13"/>
      <c r="C43" s="13"/>
      <c r="D43" s="13"/>
      <c r="E43" s="13"/>
      <c r="F43" s="13"/>
      <c r="G43" s="13"/>
      <c r="H43" s="13"/>
    </row>
    <row r="44" spans="1:8" ht="30.75">
      <c r="A44" s="15" t="s">
        <v>40</v>
      </c>
      <c r="B44" s="12">
        <f t="shared" ref="B44:E44" si="15">B40-B42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>F40-F42</f>
        <v>0</v>
      </c>
      <c r="G44" s="12" t="e">
        <f>G40-G42</f>
        <v>#DIV/0!</v>
      </c>
      <c r="H44" s="48"/>
    </row>
    <row r="45" spans="1:8" ht="30.75">
      <c r="A45" s="15" t="s">
        <v>41</v>
      </c>
      <c r="B45" s="12">
        <f t="shared" ref="B45:E45" si="16">B41-B42</f>
        <v>0</v>
      </c>
      <c r="C45" s="12">
        <f t="shared" si="16"/>
        <v>0</v>
      </c>
      <c r="D45" s="12">
        <f t="shared" si="16"/>
        <v>0</v>
      </c>
      <c r="E45" s="12">
        <f t="shared" si="16"/>
        <v>0</v>
      </c>
      <c r="F45" s="12">
        <f>F41-F42</f>
        <v>0</v>
      </c>
      <c r="G45" s="12" t="e">
        <f>G41-G42</f>
        <v>#DIV/0!</v>
      </c>
      <c r="H45" s="50"/>
    </row>
    <row r="46" spans="1:8">
      <c r="A46" s="40" t="s">
        <v>42</v>
      </c>
      <c r="B46" s="41">
        <f t="shared" ref="B46:F46" si="17">B33/B39</f>
        <v>65.191034482758624</v>
      </c>
      <c r="C46" s="41">
        <f t="shared" si="17"/>
        <v>90.577500000000001</v>
      </c>
      <c r="D46" s="41">
        <f t="shared" si="17"/>
        <v>83.125</v>
      </c>
      <c r="E46" s="41">
        <f t="shared" si="17"/>
        <v>62.388888888888886</v>
      </c>
      <c r="F46" s="41">
        <f t="shared" si="17"/>
        <v>78.260000000000005</v>
      </c>
      <c r="G46" s="41" t="e">
        <f>G33/G39</f>
        <v>#DIV/0!</v>
      </c>
      <c r="H46" s="51"/>
    </row>
    <row r="48" spans="1:8">
      <c r="A48" s="22" t="s">
        <v>43</v>
      </c>
      <c r="B48" s="22" t="s">
        <v>49</v>
      </c>
      <c r="C48" s="22" t="s">
        <v>50</v>
      </c>
      <c r="D48" s="22" t="s">
        <v>51</v>
      </c>
      <c r="E48" s="22" t="s">
        <v>52</v>
      </c>
      <c r="F48" s="22" t="s">
        <v>53</v>
      </c>
      <c r="G48" s="22" t="s">
        <v>54</v>
      </c>
      <c r="H48" s="22"/>
    </row>
    <row r="49" spans="1:8" ht="60.75">
      <c r="A49" s="23" t="s">
        <v>15</v>
      </c>
      <c r="B49" s="24" t="s">
        <v>55</v>
      </c>
      <c r="C49" s="24" t="s">
        <v>56</v>
      </c>
      <c r="D49" s="24" t="s">
        <v>55</v>
      </c>
      <c r="E49" s="24" t="s">
        <v>57</v>
      </c>
      <c r="F49" s="54" t="s">
        <v>58</v>
      </c>
      <c r="G49" s="24" t="s">
        <v>59</v>
      </c>
      <c r="H49" s="24"/>
    </row>
    <row r="50" spans="1:8">
      <c r="A50" s="25" t="s">
        <v>17</v>
      </c>
      <c r="B50" s="33" t="s">
        <v>60</v>
      </c>
      <c r="C50" s="33" t="s">
        <v>60</v>
      </c>
      <c r="D50" s="33" t="s">
        <v>60</v>
      </c>
      <c r="E50" s="33" t="s">
        <v>61</v>
      </c>
      <c r="F50" s="33" t="s">
        <v>62</v>
      </c>
      <c r="G50" s="33"/>
      <c r="H50" s="33"/>
    </row>
    <row r="51" spans="1:8">
      <c r="A51" s="26" t="s">
        <v>44</v>
      </c>
      <c r="B51" s="27">
        <v>10991.1</v>
      </c>
      <c r="C51" s="27">
        <v>2634.44</v>
      </c>
      <c r="D51" s="27">
        <v>8079.12</v>
      </c>
      <c r="E51" s="27">
        <v>9631.5499999999993</v>
      </c>
      <c r="F51" s="27">
        <v>2239.3000000000002</v>
      </c>
      <c r="G51" s="27">
        <v>337.81</v>
      </c>
      <c r="H51" s="27"/>
    </row>
    <row r="52" spans="1:8">
      <c r="A52" s="28" t="s">
        <v>45</v>
      </c>
      <c r="B52" s="29">
        <v>0.1134</v>
      </c>
      <c r="C52" s="29">
        <v>0.1595</v>
      </c>
      <c r="D52" s="29">
        <v>0.189</v>
      </c>
      <c r="E52" s="29">
        <v>8.6499999999999994E-2</v>
      </c>
      <c r="F52" s="29">
        <v>0.1331</v>
      </c>
      <c r="G52" s="29">
        <v>-3.5999999999999997E-2</v>
      </c>
      <c r="H52" s="29"/>
    </row>
    <row r="53" spans="1:8">
      <c r="A53" s="30" t="s">
        <v>46</v>
      </c>
      <c r="B53" s="31">
        <v>140</v>
      </c>
      <c r="C53" s="31">
        <v>21</v>
      </c>
      <c r="D53" s="31">
        <v>130</v>
      </c>
      <c r="E53" s="31">
        <v>205</v>
      </c>
      <c r="F53" s="31">
        <v>34</v>
      </c>
      <c r="G53" s="31">
        <v>7</v>
      </c>
      <c r="H53" s="31"/>
    </row>
    <row r="54" spans="1:8">
      <c r="A54" s="34" t="s">
        <v>47</v>
      </c>
      <c r="B54" s="27">
        <v>1240</v>
      </c>
      <c r="C54" s="27">
        <v>92</v>
      </c>
      <c r="D54" s="27"/>
      <c r="E54" s="27">
        <v>1245</v>
      </c>
      <c r="F54" s="55"/>
      <c r="G54" s="27"/>
      <c r="H54" s="39"/>
    </row>
    <row r="55" spans="1:8">
      <c r="A55" s="34" t="s">
        <v>42</v>
      </c>
      <c r="B55" s="37">
        <f t="shared" ref="B55:C55" si="18">B51/B53</f>
        <v>78.507857142857148</v>
      </c>
      <c r="C55" s="37">
        <f t="shared" si="18"/>
        <v>125.44952380952381</v>
      </c>
      <c r="D55" s="37">
        <f>D51/D53</f>
        <v>62.147076923076924</v>
      </c>
      <c r="E55" s="37">
        <f t="shared" ref="E55:G55" si="19">E51/E53</f>
        <v>46.983170731707311</v>
      </c>
      <c r="F55" s="37">
        <f t="shared" si="19"/>
        <v>65.861764705882365</v>
      </c>
      <c r="G55" s="37">
        <f t="shared" si="19"/>
        <v>48.258571428571429</v>
      </c>
      <c r="H55" s="37"/>
    </row>
    <row r="57" spans="1:8">
      <c r="A57" s="43" t="s">
        <v>63</v>
      </c>
    </row>
    <row r="58" spans="1:8">
      <c r="A58" s="1" t="s">
        <v>1</v>
      </c>
      <c r="B58" s="1"/>
      <c r="C58" s="1"/>
      <c r="D58" s="1"/>
      <c r="E58" s="1"/>
      <c r="F58" s="1"/>
      <c r="G58" s="1"/>
    </row>
    <row r="59" spans="1:8">
      <c r="A59" s="3" t="s">
        <v>15</v>
      </c>
      <c r="B59" s="17"/>
      <c r="C59" s="17"/>
      <c r="D59" s="17"/>
      <c r="E59" s="17"/>
      <c r="F59" s="17"/>
      <c r="G59" s="17"/>
    </row>
    <row r="60" spans="1:8">
      <c r="A60" s="6" t="s">
        <v>17</v>
      </c>
      <c r="B60" s="32"/>
      <c r="C60" s="32"/>
      <c r="D60" s="32"/>
      <c r="E60" s="32"/>
      <c r="F60" s="32"/>
      <c r="G60" s="32"/>
    </row>
    <row r="61" spans="1:8">
      <c r="A61" s="8" t="s">
        <v>31</v>
      </c>
      <c r="B61" s="9"/>
      <c r="C61" s="9"/>
      <c r="D61" s="9"/>
      <c r="E61" s="9"/>
      <c r="F61" s="9"/>
      <c r="G61" s="9"/>
    </row>
    <row r="62" spans="1:8">
      <c r="A62" s="11" t="s">
        <v>32</v>
      </c>
      <c r="B62" s="12"/>
      <c r="C62" s="12"/>
      <c r="D62" s="12"/>
      <c r="E62" s="12"/>
      <c r="F62" s="12"/>
      <c r="G62" s="12"/>
    </row>
    <row r="63" spans="1:8">
      <c r="A63" s="11" t="s">
        <v>33</v>
      </c>
      <c r="B63" s="12"/>
      <c r="C63" s="12"/>
      <c r="D63" s="12"/>
      <c r="E63" s="12"/>
      <c r="F63" s="12"/>
      <c r="G63" s="12"/>
    </row>
    <row r="64" spans="1:8">
      <c r="A64" s="11" t="s">
        <v>34</v>
      </c>
      <c r="B64" s="12"/>
      <c r="C64" s="12"/>
      <c r="D64" s="12"/>
      <c r="E64" s="12"/>
      <c r="F64" s="12"/>
      <c r="G64" s="12"/>
    </row>
    <row r="65" spans="1:7">
      <c r="A65" s="11" t="s">
        <v>35</v>
      </c>
      <c r="B65" s="12"/>
      <c r="C65" s="12"/>
      <c r="D65" s="12"/>
      <c r="E65" s="12"/>
      <c r="F65" s="12"/>
      <c r="G65" s="12"/>
    </row>
    <row r="66" spans="1:7">
      <c r="A66" s="13"/>
      <c r="B66" s="13"/>
      <c r="C66" s="13"/>
      <c r="D66" s="13"/>
      <c r="E66" s="13"/>
      <c r="F66" s="13"/>
      <c r="G66" s="13"/>
    </row>
    <row r="67" spans="1:7">
      <c r="A67" s="11" t="s">
        <v>36</v>
      </c>
      <c r="B67" s="20"/>
      <c r="C67" s="20"/>
      <c r="D67" s="20"/>
      <c r="E67" s="20"/>
      <c r="F67" s="20"/>
      <c r="G67" s="20"/>
    </row>
    <row r="68" spans="1:7">
      <c r="A68" s="11" t="s">
        <v>37</v>
      </c>
      <c r="B68" s="12"/>
      <c r="C68" s="12"/>
      <c r="D68" s="12"/>
      <c r="E68" s="12"/>
      <c r="F68" s="12"/>
      <c r="G68" s="12"/>
    </row>
    <row r="69" spans="1:7">
      <c r="A69" s="11" t="s">
        <v>38</v>
      </c>
      <c r="B69" s="12"/>
      <c r="C69" s="12"/>
      <c r="D69" s="12"/>
      <c r="E69" s="12"/>
      <c r="F69" s="12"/>
      <c r="G69" s="12"/>
    </row>
    <row r="70" spans="1:7" ht="30.75">
      <c r="A70" s="15" t="s">
        <v>39</v>
      </c>
      <c r="B70" s="12"/>
      <c r="C70" s="12"/>
      <c r="D70" s="12"/>
      <c r="E70" s="12"/>
      <c r="F70" s="12"/>
      <c r="G70" s="12"/>
    </row>
    <row r="71" spans="1:7">
      <c r="A71" s="13"/>
      <c r="B71" s="13"/>
      <c r="C71" s="13"/>
      <c r="D71" s="13"/>
      <c r="E71" s="13"/>
      <c r="F71" s="13"/>
      <c r="G71" s="13"/>
    </row>
    <row r="72" spans="1:7" ht="30.75">
      <c r="A72" s="15" t="s">
        <v>40</v>
      </c>
      <c r="B72" s="12"/>
      <c r="C72" s="12"/>
      <c r="D72" s="12"/>
      <c r="E72" s="12"/>
      <c r="F72" s="12"/>
      <c r="G72" s="12"/>
    </row>
    <row r="73" spans="1:7" ht="30.75">
      <c r="A73" s="15" t="s">
        <v>41</v>
      </c>
      <c r="B73" s="12"/>
      <c r="C73" s="42"/>
      <c r="D73" s="42"/>
      <c r="E73" s="42"/>
      <c r="F73" s="42"/>
      <c r="G73" s="42"/>
    </row>
    <row r="74" spans="1:7">
      <c r="A74" s="40" t="s">
        <v>42</v>
      </c>
      <c r="B74" s="41"/>
      <c r="C74" s="41"/>
      <c r="D74" s="41"/>
      <c r="E74" s="41"/>
      <c r="F74" s="41"/>
      <c r="G74" s="41"/>
    </row>
    <row r="76" spans="1:7">
      <c r="A76" s="22" t="s">
        <v>43</v>
      </c>
      <c r="B76" s="22"/>
      <c r="C76" s="22"/>
      <c r="D76" s="22"/>
      <c r="E76" s="22"/>
      <c r="F76" s="22"/>
      <c r="G76" s="22"/>
    </row>
    <row r="77" spans="1:7">
      <c r="A77" s="23" t="s">
        <v>15</v>
      </c>
      <c r="B77" s="24"/>
      <c r="C77" s="24"/>
      <c r="D77" s="24"/>
      <c r="E77" s="24"/>
      <c r="F77" s="24"/>
      <c r="G77" s="24"/>
    </row>
    <row r="78" spans="1:7">
      <c r="A78" s="25" t="s">
        <v>17</v>
      </c>
      <c r="B78" s="33"/>
      <c r="C78" s="33"/>
      <c r="D78" s="33"/>
      <c r="E78" s="33"/>
      <c r="F78" s="33"/>
      <c r="G78" s="33"/>
    </row>
    <row r="79" spans="1:7">
      <c r="A79" s="26" t="s">
        <v>44</v>
      </c>
      <c r="B79" s="27"/>
      <c r="C79" s="27"/>
      <c r="D79" s="27"/>
      <c r="E79" s="27"/>
      <c r="F79" s="27"/>
      <c r="G79" s="27"/>
    </row>
    <row r="80" spans="1:7">
      <c r="A80" s="28" t="s">
        <v>45</v>
      </c>
      <c r="B80" s="29"/>
      <c r="C80" s="29"/>
      <c r="D80" s="29"/>
      <c r="E80" s="29"/>
      <c r="F80" s="29"/>
      <c r="G80" s="29"/>
    </row>
    <row r="81" spans="1:7">
      <c r="A81" s="30" t="s">
        <v>46</v>
      </c>
      <c r="B81" s="31"/>
      <c r="C81" s="31"/>
      <c r="D81" s="31"/>
      <c r="E81" s="31"/>
      <c r="F81" s="31"/>
      <c r="G81" s="44"/>
    </row>
    <row r="82" spans="1:7">
      <c r="A82" s="34" t="s">
        <v>47</v>
      </c>
      <c r="B82" s="27"/>
      <c r="C82" s="39"/>
      <c r="D82" s="39"/>
      <c r="E82" s="39"/>
      <c r="F82" s="38"/>
      <c r="G82" s="45"/>
    </row>
    <row r="83" spans="1:7">
      <c r="A83" s="34" t="s">
        <v>42</v>
      </c>
      <c r="B83" s="37"/>
      <c r="C83" s="37"/>
      <c r="D83" s="37"/>
      <c r="E83" s="37"/>
      <c r="F83" s="37"/>
      <c r="G83" s="46"/>
    </row>
    <row r="85" spans="1:7">
      <c r="A85" s="43" t="s">
        <v>64</v>
      </c>
    </row>
    <row r="86" spans="1:7">
      <c r="A86" s="1" t="s">
        <v>1</v>
      </c>
      <c r="B86" s="56" t="s">
        <v>64</v>
      </c>
      <c r="C86" s="56" t="s">
        <v>64</v>
      </c>
      <c r="D86" s="63" t="s">
        <v>64</v>
      </c>
    </row>
    <row r="87" spans="1:7" ht="60.75">
      <c r="A87" s="3" t="s">
        <v>15</v>
      </c>
      <c r="B87" s="57" t="s">
        <v>65</v>
      </c>
      <c r="C87" s="57" t="s">
        <v>65</v>
      </c>
      <c r="D87" s="64" t="s">
        <v>65</v>
      </c>
    </row>
    <row r="88" spans="1:7">
      <c r="A88" s="6" t="s">
        <v>17</v>
      </c>
      <c r="B88" s="58" t="s">
        <v>66</v>
      </c>
      <c r="C88" s="58" t="s">
        <v>18</v>
      </c>
      <c r="D88" s="65" t="s">
        <v>19</v>
      </c>
    </row>
    <row r="89" spans="1:7">
      <c r="A89" s="8" t="s">
        <v>31</v>
      </c>
      <c r="B89" s="59">
        <v>24507.919999999998</v>
      </c>
      <c r="C89" s="59">
        <v>9048.17</v>
      </c>
      <c r="D89" s="59">
        <v>8187.96</v>
      </c>
    </row>
    <row r="90" spans="1:7">
      <c r="A90" s="11" t="s">
        <v>32</v>
      </c>
      <c r="B90" s="60"/>
      <c r="C90" s="60"/>
      <c r="D90" s="60"/>
    </row>
    <row r="91" spans="1:7">
      <c r="A91" s="11" t="s">
        <v>33</v>
      </c>
      <c r="B91" s="60"/>
      <c r="C91" s="60"/>
      <c r="D91" s="60"/>
    </row>
    <row r="92" spans="1:7">
      <c r="A92" s="11" t="s">
        <v>34</v>
      </c>
      <c r="B92" s="60"/>
      <c r="C92" s="60"/>
      <c r="D92" s="60"/>
    </row>
    <row r="93" spans="1:7">
      <c r="A93" s="11" t="s">
        <v>35</v>
      </c>
      <c r="B93" s="60">
        <f t="shared" ref="B93:D93" si="20">B89-B90-B91</f>
        <v>24507.919999999998</v>
      </c>
      <c r="C93" s="60">
        <f t="shared" si="20"/>
        <v>9048.17</v>
      </c>
      <c r="D93" s="60">
        <f t="shared" si="20"/>
        <v>8187.96</v>
      </c>
    </row>
    <row r="94" spans="1:7">
      <c r="A94" s="13"/>
      <c r="B94" s="13"/>
      <c r="C94" s="13"/>
      <c r="D94" s="13"/>
    </row>
    <row r="95" spans="1:7">
      <c r="A95" s="11" t="s">
        <v>36</v>
      </c>
      <c r="B95" s="61">
        <v>331</v>
      </c>
      <c r="C95" s="61">
        <v>117</v>
      </c>
      <c r="D95" s="61">
        <v>118</v>
      </c>
    </row>
    <row r="96" spans="1:7">
      <c r="A96" s="11" t="s">
        <v>37</v>
      </c>
      <c r="B96" s="60">
        <v>0</v>
      </c>
      <c r="C96" s="60">
        <v>0</v>
      </c>
      <c r="D96" s="12">
        <f>D89/D95</f>
        <v>69.389491525423736</v>
      </c>
    </row>
    <row r="97" spans="1:4">
      <c r="A97" s="11" t="s">
        <v>38</v>
      </c>
      <c r="B97" s="60">
        <v>0</v>
      </c>
      <c r="C97" s="60">
        <v>0</v>
      </c>
      <c r="D97" s="12">
        <f>(D89-D90)/D95</f>
        <v>69.389491525423736</v>
      </c>
    </row>
    <row r="98" spans="1:4" ht="30.75">
      <c r="A98" s="15" t="s">
        <v>39</v>
      </c>
      <c r="B98" s="60">
        <v>0</v>
      </c>
      <c r="C98" s="60">
        <v>0</v>
      </c>
      <c r="D98" s="12">
        <f>(D89-D90-D91)/D95</f>
        <v>69.389491525423736</v>
      </c>
    </row>
    <row r="99" spans="1:4">
      <c r="A99" s="13"/>
      <c r="B99" s="13"/>
      <c r="C99" s="13"/>
      <c r="D99" s="13"/>
    </row>
    <row r="100" spans="1:4" ht="30.75">
      <c r="A100" s="15" t="s">
        <v>40</v>
      </c>
      <c r="B100" s="60">
        <f t="shared" ref="B100:C100" si="21">B96-B98</f>
        <v>0</v>
      </c>
      <c r="C100" s="60">
        <f t="shared" si="21"/>
        <v>0</v>
      </c>
      <c r="D100" s="12">
        <f>D96-D98</f>
        <v>0</v>
      </c>
    </row>
    <row r="101" spans="1:4" ht="30.75">
      <c r="A101" s="15" t="s">
        <v>41</v>
      </c>
      <c r="B101" s="60">
        <f t="shared" ref="B101:C101" si="22">B97-B98</f>
        <v>0</v>
      </c>
      <c r="C101" s="60">
        <f t="shared" si="22"/>
        <v>0</v>
      </c>
      <c r="D101" s="12">
        <f>D97-D98</f>
        <v>0</v>
      </c>
    </row>
    <row r="102" spans="1:4">
      <c r="A102" s="40" t="s">
        <v>42</v>
      </c>
      <c r="B102" s="41">
        <f t="shared" ref="B102:C102" si="23">B89/B95</f>
        <v>74.042054380664652</v>
      </c>
      <c r="C102" s="41">
        <f t="shared" si="23"/>
        <v>77.334786324786322</v>
      </c>
      <c r="D102" s="41">
        <f>D89/D95</f>
        <v>69.389491525423736</v>
      </c>
    </row>
    <row r="104" spans="1:4">
      <c r="A104" s="22" t="s">
        <v>43</v>
      </c>
      <c r="B104" s="22" t="s">
        <v>64</v>
      </c>
      <c r="C104" s="22" t="s">
        <v>64</v>
      </c>
      <c r="D104" s="22" t="s">
        <v>64</v>
      </c>
    </row>
    <row r="105" spans="1:4" ht="60.75">
      <c r="A105" s="23" t="s">
        <v>15</v>
      </c>
      <c r="B105" s="24" t="s">
        <v>65</v>
      </c>
      <c r="C105" s="24" t="s">
        <v>65</v>
      </c>
      <c r="D105" s="24" t="s">
        <v>65</v>
      </c>
    </row>
    <row r="106" spans="1:4">
      <c r="A106" s="25" t="s">
        <v>17</v>
      </c>
      <c r="B106" s="33" t="s">
        <v>66</v>
      </c>
      <c r="C106" s="33" t="s">
        <v>18</v>
      </c>
      <c r="D106" s="33" t="s">
        <v>19</v>
      </c>
    </row>
    <row r="107" spans="1:4">
      <c r="A107" s="26" t="s">
        <v>44</v>
      </c>
      <c r="B107" s="27">
        <v>61455.1</v>
      </c>
      <c r="C107" s="27">
        <v>37236.589999999997</v>
      </c>
      <c r="D107" s="27">
        <v>42397.84</v>
      </c>
    </row>
    <row r="108" spans="1:4">
      <c r="A108" s="28" t="s">
        <v>45</v>
      </c>
      <c r="B108" s="29">
        <v>0.1381</v>
      </c>
      <c r="C108" s="29">
        <v>0.1321</v>
      </c>
      <c r="D108" s="29">
        <v>0.1318</v>
      </c>
    </row>
    <row r="109" spans="1:4">
      <c r="A109" s="30" t="s">
        <v>46</v>
      </c>
      <c r="B109" s="31">
        <v>955</v>
      </c>
      <c r="C109" s="31">
        <v>431</v>
      </c>
      <c r="D109" s="31">
        <v>452</v>
      </c>
    </row>
    <row r="110" spans="1:4">
      <c r="A110" s="34" t="s">
        <v>47</v>
      </c>
      <c r="B110" s="27"/>
      <c r="C110" s="27"/>
      <c r="D110" s="27"/>
    </row>
    <row r="111" spans="1:4">
      <c r="A111" s="34" t="s">
        <v>42</v>
      </c>
      <c r="B111" s="37">
        <f t="shared" ref="B111:D111" si="24">B107/B109</f>
        <v>64.350890052356021</v>
      </c>
      <c r="C111" s="37">
        <f t="shared" si="24"/>
        <v>86.395800464037109</v>
      </c>
      <c r="D111" s="37">
        <f t="shared" si="24"/>
        <v>93.800530973451316</v>
      </c>
    </row>
  </sheetData>
  <conditionalFormatting sqref="B51:E51 G51:H51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3:F33 G33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9:F39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1:F6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4:F74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1:F8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9:G39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6:G4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7:G6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9:G7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0:G8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3:G8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3:H5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5:H55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I5 M5:P5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I11 M11:P11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:I18 M18:P1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3:I23 M23:P23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I24 M24:P24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5:I25 M25:P25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7:P27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5316-BE66-45D0-BFC0-A31A2F277975}">
  <dimension ref="A1:AC26"/>
  <sheetViews>
    <sheetView tabSelected="1" zoomScale="75" zoomScaleNormal="75" workbookViewId="0">
      <pane xSplit="1" topLeftCell="B1" activePane="topRight" state="frozen"/>
      <selection pane="topRight" activeCell="D25" sqref="D25"/>
    </sheetView>
  </sheetViews>
  <sheetFormatPr defaultRowHeight="15" customHeight="1"/>
  <cols>
    <col min="1" max="1" width="30.7109375" customWidth="1"/>
    <col min="2" max="5" width="20.7109375" customWidth="1"/>
    <col min="6" max="6" width="21.28515625" customWidth="1"/>
    <col min="7" max="7" width="15.85546875" customWidth="1"/>
  </cols>
  <sheetData>
    <row r="1" spans="1:29" s="2" customFormat="1">
      <c r="A1" s="1" t="s">
        <v>1</v>
      </c>
      <c r="B1" s="63" t="s">
        <v>4</v>
      </c>
      <c r="C1" s="63" t="s">
        <v>54</v>
      </c>
      <c r="D1" s="63" t="s">
        <v>67</v>
      </c>
      <c r="E1" s="63" t="s">
        <v>64</v>
      </c>
      <c r="G1" s="2" t="s">
        <v>14</v>
      </c>
    </row>
    <row r="2" spans="1:29" s="5" customFormat="1" ht="85.7" customHeight="1">
      <c r="A2" s="3" t="s">
        <v>15</v>
      </c>
      <c r="B2" s="64" t="s">
        <v>16</v>
      </c>
      <c r="C2" s="64" t="s">
        <v>59</v>
      </c>
      <c r="D2" s="64" t="s">
        <v>68</v>
      </c>
      <c r="E2" s="64" t="s">
        <v>65</v>
      </c>
      <c r="F2" s="4"/>
    </row>
    <row r="3" spans="1:29" s="4" customFormat="1">
      <c r="A3" s="6" t="s">
        <v>17</v>
      </c>
      <c r="B3" s="65" t="s">
        <v>20</v>
      </c>
      <c r="C3" s="65"/>
      <c r="D3" s="65" t="s">
        <v>69</v>
      </c>
      <c r="E3" s="65" t="s">
        <v>20</v>
      </c>
      <c r="G3" s="7"/>
    </row>
    <row r="4" spans="1:29">
      <c r="A4" s="8" t="s">
        <v>31</v>
      </c>
      <c r="B4" s="9">
        <v>9516.66</v>
      </c>
      <c r="C4" s="9">
        <v>0</v>
      </c>
      <c r="D4" s="59">
        <v>401.06</v>
      </c>
      <c r="E4" s="59">
        <v>5673.77</v>
      </c>
      <c r="F4" s="10"/>
      <c r="G4" s="10">
        <f>SUM(B4:E4)</f>
        <v>15591.49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>
      <c r="A5" s="11" t="s">
        <v>32</v>
      </c>
      <c r="B5" s="12"/>
      <c r="C5" s="12"/>
      <c r="D5" s="60"/>
      <c r="E5" s="60"/>
      <c r="F5" s="10"/>
      <c r="G5" s="10">
        <f>SUM(B5:E5)</f>
        <v>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>
      <c r="A6" s="11" t="s">
        <v>33</v>
      </c>
      <c r="B6" s="12"/>
      <c r="C6" s="12"/>
      <c r="D6" s="60"/>
      <c r="E6" s="60"/>
      <c r="F6" s="10"/>
      <c r="G6" s="10">
        <f>SUM(B6:E6)</f>
        <v>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>
      <c r="A7" s="11" t="s">
        <v>34</v>
      </c>
      <c r="B7" s="12"/>
      <c r="C7" s="12"/>
      <c r="D7" s="60"/>
      <c r="E7" s="60"/>
      <c r="F7" s="10"/>
      <c r="G7" s="10">
        <f>SUM(B7:E7)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>
      <c r="A8" s="11" t="s">
        <v>35</v>
      </c>
      <c r="B8" s="12">
        <f>B4-B5-B6</f>
        <v>9516.66</v>
      </c>
      <c r="C8" s="12">
        <f>C4-C5-C6</f>
        <v>0</v>
      </c>
      <c r="D8" s="60">
        <f t="shared" ref="D8:E8" si="0">D4-D5-D6</f>
        <v>401.06</v>
      </c>
      <c r="E8" s="60">
        <f t="shared" si="0"/>
        <v>5673.77</v>
      </c>
      <c r="F8" s="10"/>
      <c r="G8" s="10">
        <f>SUM(B8:E8)</f>
        <v>15591.49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s="14" customFormat="1" ht="5.45" customHeight="1">
      <c r="A9" s="13"/>
      <c r="B9" s="13"/>
      <c r="C9" s="13"/>
      <c r="D9" s="13"/>
      <c r="E9" s="13"/>
    </row>
    <row r="10" spans="1:29">
      <c r="A10" s="11" t="s">
        <v>36</v>
      </c>
      <c r="B10" s="20">
        <v>126</v>
      </c>
      <c r="C10" s="20">
        <v>0</v>
      </c>
      <c r="D10" s="61">
        <v>3</v>
      </c>
      <c r="E10" s="61">
        <v>94</v>
      </c>
      <c r="G10" s="52">
        <f>SUM(B10:E10)</f>
        <v>223</v>
      </c>
    </row>
    <row r="11" spans="1:29">
      <c r="A11" s="11" t="s">
        <v>37</v>
      </c>
      <c r="B11" s="12">
        <f>B4/B10</f>
        <v>75.529047619047617</v>
      </c>
      <c r="C11" s="12">
        <v>0</v>
      </c>
      <c r="D11" s="60">
        <v>0</v>
      </c>
      <c r="E11" s="12">
        <f>E4/E10</f>
        <v>60.359255319148943</v>
      </c>
      <c r="F11" s="10"/>
      <c r="G11" s="10">
        <f>AVERAGE(B11:E11)</f>
        <v>33.972075734549136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>
      <c r="A12" s="11" t="s">
        <v>38</v>
      </c>
      <c r="B12" s="12">
        <f>(B4-B5)/B10</f>
        <v>75.529047619047617</v>
      </c>
      <c r="C12" s="12">
        <v>0</v>
      </c>
      <c r="D12" s="60">
        <v>0</v>
      </c>
      <c r="E12" s="12">
        <f>(E4-E5)/E10</f>
        <v>60.359255319148943</v>
      </c>
      <c r="F12" s="10"/>
      <c r="G12" s="10">
        <f>AVERAGE(B12:E12)</f>
        <v>33.972075734549136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ht="30.75">
      <c r="A13" s="15" t="s">
        <v>39</v>
      </c>
      <c r="B13" s="12">
        <f>(B4-B5-B6)/B10</f>
        <v>75.529047619047617</v>
      </c>
      <c r="C13" s="12">
        <v>0</v>
      </c>
      <c r="D13" s="60">
        <v>0</v>
      </c>
      <c r="E13" s="12">
        <f>(E4-E5-E6)/E10</f>
        <v>60.359255319148943</v>
      </c>
      <c r="F13" s="10"/>
      <c r="G13" s="10">
        <f>AVERAGE(B13:E13)</f>
        <v>33.972075734549136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s="14" customFormat="1" ht="5.45" customHeight="1">
      <c r="A14" s="13"/>
      <c r="B14" s="13"/>
      <c r="C14" s="13"/>
      <c r="D14" s="13"/>
      <c r="E14" s="13"/>
    </row>
    <row r="15" spans="1:29" ht="30.75">
      <c r="A15" s="15" t="s">
        <v>40</v>
      </c>
      <c r="B15" s="12">
        <f>B11-B13</f>
        <v>0</v>
      </c>
      <c r="C15" s="12">
        <f>C11-C13</f>
        <v>0</v>
      </c>
      <c r="D15" s="60">
        <f t="shared" ref="D15" si="1">D11-D13</f>
        <v>0</v>
      </c>
      <c r="E15" s="12">
        <f>E11-E13</f>
        <v>0</v>
      </c>
      <c r="F15" s="10"/>
      <c r="G15" s="10">
        <f>SUM(B15:E15)</f>
        <v>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ht="30.75">
      <c r="A16" s="15" t="s">
        <v>41</v>
      </c>
      <c r="B16" s="12">
        <f>B12-B13</f>
        <v>0</v>
      </c>
      <c r="C16" s="12">
        <f>C12-C13</f>
        <v>0</v>
      </c>
      <c r="D16" s="60">
        <f t="shared" ref="D16" si="2">D12-D13</f>
        <v>0</v>
      </c>
      <c r="E16" s="12">
        <f>E12-E13</f>
        <v>0</v>
      </c>
      <c r="F16" s="10"/>
      <c r="G16" s="10">
        <f>SUM(B16:E16)</f>
        <v>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>
      <c r="A17" s="40" t="s">
        <v>42</v>
      </c>
      <c r="B17" s="41">
        <f>B4/B10</f>
        <v>75.529047619047617</v>
      </c>
      <c r="C17" s="41">
        <v>0</v>
      </c>
      <c r="D17" s="62">
        <v>0</v>
      </c>
      <c r="E17" s="41">
        <f>E4/E10</f>
        <v>60.359255319148943</v>
      </c>
      <c r="F17" s="10"/>
      <c r="G17" s="10">
        <f>G4/G10</f>
        <v>69.916995515695064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9" spans="1:29">
      <c r="A19" s="22" t="s">
        <v>43</v>
      </c>
      <c r="B19" s="22" t="s">
        <v>4</v>
      </c>
      <c r="C19" s="22" t="s">
        <v>54</v>
      </c>
      <c r="D19" s="22" t="s">
        <v>67</v>
      </c>
      <c r="E19" s="22" t="s">
        <v>64</v>
      </c>
      <c r="G19" s="2"/>
    </row>
    <row r="20" spans="1:29" ht="88.5" customHeight="1">
      <c r="A20" s="23" t="s">
        <v>15</v>
      </c>
      <c r="B20" s="24" t="s">
        <v>16</v>
      </c>
      <c r="C20" s="24" t="s">
        <v>59</v>
      </c>
      <c r="D20" s="24" t="s">
        <v>68</v>
      </c>
      <c r="E20" s="24" t="s">
        <v>65</v>
      </c>
      <c r="G20" s="5"/>
      <c r="O20" s="19"/>
    </row>
    <row r="21" spans="1:29">
      <c r="A21" s="25" t="s">
        <v>17</v>
      </c>
      <c r="B21" s="33" t="s">
        <v>20</v>
      </c>
      <c r="C21" s="33"/>
      <c r="D21" s="33" t="s">
        <v>69</v>
      </c>
      <c r="E21" s="33" t="s">
        <v>20</v>
      </c>
      <c r="G21" s="7"/>
    </row>
    <row r="22" spans="1:29" s="16" customFormat="1">
      <c r="A22" s="26" t="s">
        <v>44</v>
      </c>
      <c r="B22" s="27">
        <v>155432.89000000001</v>
      </c>
      <c r="C22" s="27">
        <v>337.81</v>
      </c>
      <c r="D22" s="27">
        <v>37998.080000000002</v>
      </c>
      <c r="E22" s="27">
        <v>42074.720000000001</v>
      </c>
      <c r="G22" s="16">
        <f>SUM(B22:E22)</f>
        <v>235843.50000000003</v>
      </c>
    </row>
    <row r="23" spans="1:29" s="18" customFormat="1">
      <c r="A23" s="28" t="s">
        <v>45</v>
      </c>
      <c r="B23" s="29">
        <v>0.11650000000000001</v>
      </c>
      <c r="C23" s="29">
        <v>-3.5999999999999997E-2</v>
      </c>
      <c r="D23" s="29">
        <v>0.12230000000000001</v>
      </c>
      <c r="E23" s="29">
        <v>0.12280000000000001</v>
      </c>
      <c r="G23" s="18">
        <f>AVERAGE(B23:E23)</f>
        <v>8.1400000000000014E-2</v>
      </c>
    </row>
    <row r="24" spans="1:29">
      <c r="A24" s="30" t="s">
        <v>46</v>
      </c>
      <c r="B24" s="31">
        <v>2302</v>
      </c>
      <c r="C24" s="31">
        <v>7</v>
      </c>
      <c r="D24" s="31">
        <v>316</v>
      </c>
      <c r="E24" s="31">
        <v>434</v>
      </c>
      <c r="G24" s="21">
        <f>SUM(B24:E24)</f>
        <v>3059</v>
      </c>
    </row>
    <row r="25" spans="1:29" ht="15" customHeight="1">
      <c r="A25" s="34" t="s">
        <v>47</v>
      </c>
      <c r="B25" s="27"/>
      <c r="C25" s="27"/>
      <c r="D25" s="27"/>
      <c r="E25" s="27"/>
      <c r="G25" s="35">
        <f>SUM(B25:E25)</f>
        <v>0</v>
      </c>
    </row>
    <row r="26" spans="1:29" ht="15" customHeight="1">
      <c r="A26" s="34" t="s">
        <v>42</v>
      </c>
      <c r="B26" s="37">
        <f t="shared" ref="B26:E26" si="3">B22/B24</f>
        <v>67.520803649000868</v>
      </c>
      <c r="C26" s="37">
        <f t="shared" si="3"/>
        <v>48.258571428571429</v>
      </c>
      <c r="D26" s="37">
        <f t="shared" si="3"/>
        <v>120.24708860759495</v>
      </c>
      <c r="E26" s="37">
        <f t="shared" si="3"/>
        <v>96.94635944700461</v>
      </c>
      <c r="G26" s="36">
        <f>G22/G24</f>
        <v>77.098234717227868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80FC1-1477-4B85-B59E-695332957AB4}">
  <dimension ref="A1:AC26"/>
  <sheetViews>
    <sheetView zoomScale="75" zoomScaleNormal="75" workbookViewId="0">
      <pane xSplit="1" topLeftCell="B1" activePane="topRight" state="frozen"/>
      <selection pane="topRight"/>
    </sheetView>
  </sheetViews>
  <sheetFormatPr defaultRowHeight="15" customHeight="1"/>
  <cols>
    <col min="1" max="1" width="30.7109375" customWidth="1"/>
    <col min="2" max="5" width="20.7109375" customWidth="1"/>
    <col min="6" max="6" width="21.28515625" customWidth="1"/>
    <col min="7" max="7" width="15.85546875" customWidth="1"/>
  </cols>
  <sheetData>
    <row r="1" spans="1:29" s="2" customFormat="1">
      <c r="A1" s="1" t="s">
        <v>1</v>
      </c>
      <c r="B1" s="63" t="s">
        <v>3</v>
      </c>
      <c r="C1" s="63" t="s">
        <v>70</v>
      </c>
      <c r="D1" s="63" t="s">
        <v>71</v>
      </c>
      <c r="E1" s="63" t="s">
        <v>64</v>
      </c>
      <c r="G1" s="2" t="s">
        <v>14</v>
      </c>
    </row>
    <row r="2" spans="1:29" s="5" customFormat="1" ht="85.7" customHeight="1">
      <c r="A2" s="3" t="s">
        <v>15</v>
      </c>
      <c r="B2" s="64" t="s">
        <v>16</v>
      </c>
      <c r="C2" s="64" t="s">
        <v>72</v>
      </c>
      <c r="D2" s="64" t="s">
        <v>65</v>
      </c>
      <c r="E2" s="64" t="s">
        <v>65</v>
      </c>
      <c r="F2" s="4"/>
    </row>
    <row r="3" spans="1:29" s="4" customFormat="1">
      <c r="A3" s="6" t="s">
        <v>17</v>
      </c>
      <c r="B3" s="65" t="s">
        <v>19</v>
      </c>
      <c r="C3" s="65" t="s">
        <v>73</v>
      </c>
      <c r="D3" s="65" t="s">
        <v>74</v>
      </c>
      <c r="E3" s="65" t="s">
        <v>19</v>
      </c>
      <c r="G3" s="7"/>
    </row>
    <row r="4" spans="1:29">
      <c r="A4" s="8" t="s">
        <v>31</v>
      </c>
      <c r="B4" s="9">
        <v>8187.26</v>
      </c>
      <c r="C4" s="59">
        <v>0</v>
      </c>
      <c r="D4" s="9">
        <v>0</v>
      </c>
      <c r="E4" s="59">
        <v>8187.96</v>
      </c>
      <c r="F4" s="10"/>
      <c r="G4" s="10">
        <f>SUM(B4:E4)</f>
        <v>16375.220000000001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>
      <c r="A5" s="11" t="s">
        <v>32</v>
      </c>
      <c r="B5" s="12"/>
      <c r="C5" s="60"/>
      <c r="D5" s="12"/>
      <c r="E5" s="60"/>
      <c r="F5" s="10"/>
      <c r="G5" s="10">
        <f>SUM(B5:E5)</f>
        <v>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>
      <c r="A6" s="11" t="s">
        <v>33</v>
      </c>
      <c r="B6" s="12"/>
      <c r="C6" s="60"/>
      <c r="D6" s="12"/>
      <c r="E6" s="60"/>
      <c r="F6" s="10"/>
      <c r="G6" s="10">
        <f>SUM(B6:E6)</f>
        <v>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>
      <c r="A7" s="11" t="s">
        <v>34</v>
      </c>
      <c r="B7" s="12"/>
      <c r="C7" s="60"/>
      <c r="D7" s="12"/>
      <c r="E7" s="60"/>
      <c r="F7" s="10"/>
      <c r="G7" s="10">
        <f>SUM(B7:E7)</f>
        <v>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>
      <c r="A8" s="11" t="s">
        <v>35</v>
      </c>
      <c r="B8" s="12">
        <f>B4-B5-B6</f>
        <v>8187.26</v>
      </c>
      <c r="C8" s="60">
        <f t="shared" ref="C8:E8" si="0">C4-C5-C6</f>
        <v>0</v>
      </c>
      <c r="D8" s="12">
        <f>D4-D5-D6</f>
        <v>0</v>
      </c>
      <c r="E8" s="60">
        <f t="shared" si="0"/>
        <v>8187.96</v>
      </c>
      <c r="F8" s="10"/>
      <c r="G8" s="10">
        <f>SUM(B8:E8)</f>
        <v>16375.220000000001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s="14" customFormat="1" ht="5.45" customHeight="1">
      <c r="A9" s="13"/>
      <c r="B9" s="13"/>
      <c r="C9" s="13"/>
      <c r="D9" s="13"/>
      <c r="E9" s="13"/>
    </row>
    <row r="10" spans="1:29">
      <c r="A10" s="11" t="s">
        <v>36</v>
      </c>
      <c r="B10" s="20">
        <v>114</v>
      </c>
      <c r="C10" s="61">
        <v>0</v>
      </c>
      <c r="D10" s="20">
        <v>0</v>
      </c>
      <c r="E10" s="61">
        <v>118</v>
      </c>
      <c r="G10" s="52">
        <f>SUM(B10:E10)</f>
        <v>232</v>
      </c>
    </row>
    <row r="11" spans="1:29">
      <c r="A11" s="11" t="s">
        <v>37</v>
      </c>
      <c r="B11" s="12">
        <f>B4/B10</f>
        <v>71.818070175438592</v>
      </c>
      <c r="C11" s="60">
        <v>0</v>
      </c>
      <c r="D11" s="12">
        <v>0</v>
      </c>
      <c r="E11" s="12">
        <f>E4/E10</f>
        <v>69.389491525423736</v>
      </c>
      <c r="F11" s="10"/>
      <c r="G11" s="10">
        <f>AVERAGE(B11:E11)</f>
        <v>35.301890425215582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>
      <c r="A12" s="11" t="s">
        <v>38</v>
      </c>
      <c r="B12" s="12">
        <f>(B4-B5)/B10</f>
        <v>71.818070175438592</v>
      </c>
      <c r="C12" s="60">
        <v>0</v>
      </c>
      <c r="D12" s="12">
        <v>0</v>
      </c>
      <c r="E12" s="12">
        <f>(E4-E5)/E10</f>
        <v>69.389491525423736</v>
      </c>
      <c r="F12" s="10"/>
      <c r="G12" s="10">
        <f>AVERAGE(B12:E12)</f>
        <v>35.301890425215582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ht="30.75">
      <c r="A13" s="15" t="s">
        <v>39</v>
      </c>
      <c r="B13" s="12">
        <f>(B4-B5-B6)/B10</f>
        <v>71.818070175438592</v>
      </c>
      <c r="C13" s="60">
        <v>0</v>
      </c>
      <c r="D13" s="12">
        <v>0</v>
      </c>
      <c r="E13" s="12">
        <f>(E4-E5-E6)/E10</f>
        <v>69.389491525423736</v>
      </c>
      <c r="F13" s="10"/>
      <c r="G13" s="10">
        <f>AVERAGE(B13:E13)</f>
        <v>35.301890425215582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s="14" customFormat="1" ht="5.45" customHeight="1">
      <c r="A14" s="13"/>
      <c r="B14" s="13"/>
      <c r="C14" s="13"/>
      <c r="D14" s="13"/>
      <c r="E14" s="13"/>
    </row>
    <row r="15" spans="1:29" ht="30.75">
      <c r="A15" s="15" t="s">
        <v>40</v>
      </c>
      <c r="B15" s="12">
        <f>B11-B13</f>
        <v>0</v>
      </c>
      <c r="C15" s="60">
        <f t="shared" ref="C15:E15" si="1">C11-C13</f>
        <v>0</v>
      </c>
      <c r="D15" s="12">
        <f>D11-D13</f>
        <v>0</v>
      </c>
      <c r="E15" s="12">
        <f>E11-E13</f>
        <v>0</v>
      </c>
      <c r="F15" s="10"/>
      <c r="G15" s="10">
        <f>SUM(B15:E15)</f>
        <v>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ht="30.75">
      <c r="A16" s="15" t="s">
        <v>41</v>
      </c>
      <c r="B16" s="12">
        <f>B12-B13</f>
        <v>0</v>
      </c>
      <c r="C16" s="60">
        <f t="shared" ref="C16:E16" si="2">C12-C13</f>
        <v>0</v>
      </c>
      <c r="D16" s="12">
        <f>D12-D13</f>
        <v>0</v>
      </c>
      <c r="E16" s="12">
        <f>E12-E13</f>
        <v>0</v>
      </c>
      <c r="F16" s="10"/>
      <c r="G16" s="10">
        <f>SUM(B16:E16)</f>
        <v>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>
      <c r="A17" s="40" t="s">
        <v>42</v>
      </c>
      <c r="B17" s="41">
        <f>B4/B10</f>
        <v>71.818070175438592</v>
      </c>
      <c r="C17" s="62">
        <v>0</v>
      </c>
      <c r="D17" s="41">
        <v>0</v>
      </c>
      <c r="E17" s="41">
        <f>E4/E10</f>
        <v>69.389491525423736</v>
      </c>
      <c r="F17" s="10"/>
      <c r="G17" s="10">
        <f>G4/G10</f>
        <v>70.582844827586214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9" spans="1:29">
      <c r="A19" s="22" t="s">
        <v>43</v>
      </c>
      <c r="B19" s="22" t="s">
        <v>3</v>
      </c>
      <c r="C19" s="22" t="s">
        <v>70</v>
      </c>
      <c r="D19" s="22" t="s">
        <v>71</v>
      </c>
      <c r="E19" s="22" t="s">
        <v>64</v>
      </c>
      <c r="G19" s="2"/>
    </row>
    <row r="20" spans="1:29" ht="88.5" customHeight="1">
      <c r="A20" s="23" t="s">
        <v>15</v>
      </c>
      <c r="B20" s="24" t="s">
        <v>16</v>
      </c>
      <c r="C20" s="24" t="s">
        <v>72</v>
      </c>
      <c r="D20" s="24" t="s">
        <v>65</v>
      </c>
      <c r="E20" s="24" t="s">
        <v>65</v>
      </c>
      <c r="G20" s="5"/>
      <c r="O20" s="19"/>
    </row>
    <row r="21" spans="1:29">
      <c r="A21" s="25" t="s">
        <v>17</v>
      </c>
      <c r="B21" s="33" t="s">
        <v>19</v>
      </c>
      <c r="C21" s="33" t="s">
        <v>73</v>
      </c>
      <c r="D21" s="33" t="s">
        <v>74</v>
      </c>
      <c r="E21" s="33" t="s">
        <v>19</v>
      </c>
      <c r="G21" s="7"/>
    </row>
    <row r="22" spans="1:29" s="16" customFormat="1">
      <c r="A22" s="26" t="s">
        <v>44</v>
      </c>
      <c r="B22" s="27">
        <v>139800.04999999999</v>
      </c>
      <c r="C22" s="27">
        <v>194.08</v>
      </c>
      <c r="D22" s="27">
        <v>3901.9</v>
      </c>
      <c r="E22" s="27">
        <v>42397.84</v>
      </c>
      <c r="G22" s="16">
        <f>SUM(B22:E22)</f>
        <v>186293.86999999997</v>
      </c>
    </row>
    <row r="23" spans="1:29" s="18" customFormat="1">
      <c r="A23" s="28" t="s">
        <v>45</v>
      </c>
      <c r="B23" s="29">
        <v>0.1205</v>
      </c>
      <c r="C23" s="29">
        <v>-0.1055</v>
      </c>
      <c r="D23" s="29">
        <v>0.16159999999999999</v>
      </c>
      <c r="E23" s="29">
        <v>0.1318</v>
      </c>
      <c r="G23" s="18">
        <f>AVERAGE(B23:E23)</f>
        <v>7.7100000000000002E-2</v>
      </c>
    </row>
    <row r="24" spans="1:29">
      <c r="A24" s="30" t="s">
        <v>46</v>
      </c>
      <c r="B24" s="31">
        <v>2086</v>
      </c>
      <c r="C24" s="31">
        <v>14</v>
      </c>
      <c r="D24" s="31">
        <v>59</v>
      </c>
      <c r="E24" s="31">
        <v>452</v>
      </c>
      <c r="G24" s="21">
        <f>SUM(B24:E24)</f>
        <v>2611</v>
      </c>
    </row>
    <row r="25" spans="1:29" ht="15" customHeight="1">
      <c r="A25" s="34" t="s">
        <v>47</v>
      </c>
      <c r="B25" s="27"/>
      <c r="C25" s="27"/>
      <c r="D25" s="27"/>
      <c r="E25" s="27"/>
      <c r="G25" s="35">
        <f>SUM(B25:E25)</f>
        <v>0</v>
      </c>
    </row>
    <row r="26" spans="1:29" ht="15" customHeight="1">
      <c r="A26" s="34" t="s">
        <v>42</v>
      </c>
      <c r="B26" s="37">
        <f t="shared" ref="B26:E26" si="3">B22/B24</f>
        <v>67.018240651965485</v>
      </c>
      <c r="C26" s="37">
        <f t="shared" ref="C26:D26" si="4">C22/C24</f>
        <v>13.862857142857143</v>
      </c>
      <c r="D26" s="37">
        <f t="shared" si="4"/>
        <v>66.133898305084742</v>
      </c>
      <c r="E26" s="37">
        <f t="shared" si="3"/>
        <v>93.800530973451316</v>
      </c>
      <c r="G26" s="36">
        <f>G22/G24</f>
        <v>71.349624664879343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B21E-0E1A-4CAB-B757-92EAE4F43614}">
  <dimension ref="A1:AB26"/>
  <sheetViews>
    <sheetView zoomScale="75" zoomScaleNormal="75" workbookViewId="0">
      <selection activeCell="B11" sqref="B11"/>
    </sheetView>
  </sheetViews>
  <sheetFormatPr defaultRowHeight="15" customHeight="1"/>
  <cols>
    <col min="1" max="1" width="30.7109375" customWidth="1"/>
    <col min="2" max="4" width="20.7109375" customWidth="1"/>
    <col min="5" max="5" width="21.28515625" customWidth="1"/>
    <col min="6" max="6" width="15.85546875" customWidth="1"/>
  </cols>
  <sheetData>
    <row r="1" spans="1:28" s="2" customFormat="1">
      <c r="A1" s="1" t="s">
        <v>1</v>
      </c>
      <c r="B1" s="1" t="s">
        <v>2</v>
      </c>
      <c r="C1" s="56" t="s">
        <v>64</v>
      </c>
      <c r="D1" s="1" t="s">
        <v>75</v>
      </c>
      <c r="F1" s="2" t="s">
        <v>14</v>
      </c>
    </row>
    <row r="2" spans="1:28" s="5" customFormat="1" ht="85.7" customHeight="1">
      <c r="A2" s="3" t="s">
        <v>15</v>
      </c>
      <c r="B2" s="17" t="s">
        <v>16</v>
      </c>
      <c r="C2" s="57" t="s">
        <v>65</v>
      </c>
      <c r="D2" s="57" t="s">
        <v>65</v>
      </c>
      <c r="E2" s="4"/>
    </row>
    <row r="3" spans="1:28" s="4" customFormat="1">
      <c r="A3" s="6" t="s">
        <v>17</v>
      </c>
      <c r="B3" s="32" t="s">
        <v>18</v>
      </c>
      <c r="C3" s="58" t="s">
        <v>18</v>
      </c>
      <c r="D3" s="32" t="s">
        <v>76</v>
      </c>
      <c r="F3" s="7"/>
    </row>
    <row r="4" spans="1:28">
      <c r="A4" s="8" t="s">
        <v>31</v>
      </c>
      <c r="B4" s="9">
        <v>9598.5499999999993</v>
      </c>
      <c r="C4" s="59">
        <v>8318.81</v>
      </c>
      <c r="D4" s="9">
        <v>151.86000000000001</v>
      </c>
      <c r="E4" s="10"/>
      <c r="F4" s="10">
        <f>SUM(B4:D4)</f>
        <v>18069.22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>
      <c r="A5" s="11" t="s">
        <v>32</v>
      </c>
      <c r="B5" s="12"/>
      <c r="C5" s="60"/>
      <c r="D5" s="12"/>
      <c r="E5" s="10"/>
      <c r="F5" s="10">
        <f>SUM(B5:D5)</f>
        <v>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>
      <c r="A6" s="11" t="s">
        <v>33</v>
      </c>
      <c r="B6" s="12"/>
      <c r="C6" s="60"/>
      <c r="D6" s="12"/>
      <c r="E6" s="10"/>
      <c r="F6" s="10">
        <f>SUM(B6:D6)</f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>
      <c r="A7" s="11" t="s">
        <v>34</v>
      </c>
      <c r="B7" s="12"/>
      <c r="C7" s="60"/>
      <c r="D7" s="12"/>
      <c r="E7" s="10"/>
      <c r="F7" s="10">
        <f>SUM(B7:D7)</f>
        <v>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>
      <c r="A8" s="11" t="s">
        <v>35</v>
      </c>
      <c r="B8" s="12">
        <f>B4-B5-B6</f>
        <v>9598.5499999999993</v>
      </c>
      <c r="C8" s="60">
        <f t="shared" ref="C8" si="0">C4-C5-C6</f>
        <v>8318.81</v>
      </c>
      <c r="D8" s="12">
        <f>D4-D5-D6</f>
        <v>151.86000000000001</v>
      </c>
      <c r="E8" s="10"/>
      <c r="F8" s="10">
        <f>SUM(B8:D8)</f>
        <v>18069.22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s="14" customFormat="1" ht="5.45" customHeight="1">
      <c r="A9" s="13"/>
      <c r="B9" s="13"/>
      <c r="C9" s="13"/>
      <c r="D9" s="13"/>
    </row>
    <row r="10" spans="1:28">
      <c r="A10" s="11" t="s">
        <v>36</v>
      </c>
      <c r="B10" s="20">
        <v>124</v>
      </c>
      <c r="C10" s="61">
        <v>105</v>
      </c>
      <c r="D10" s="20">
        <v>4</v>
      </c>
      <c r="F10" s="52">
        <f>SUM(B10:D10)</f>
        <v>233</v>
      </c>
    </row>
    <row r="11" spans="1:28">
      <c r="A11" s="11" t="s">
        <v>37</v>
      </c>
      <c r="B11" s="12">
        <f>B4/B10</f>
        <v>77.407661290322579</v>
      </c>
      <c r="C11" s="60">
        <v>0</v>
      </c>
      <c r="D11" s="12">
        <f>D4/D10</f>
        <v>37.965000000000003</v>
      </c>
      <c r="E11" s="10"/>
      <c r="F11" s="10">
        <f>AVERAGE(B11:D11)</f>
        <v>38.457553763440863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>
      <c r="A12" s="11" t="s">
        <v>38</v>
      </c>
      <c r="B12" s="12">
        <f>(B4-B5)/B10</f>
        <v>77.407661290322579</v>
      </c>
      <c r="C12" s="60">
        <v>0</v>
      </c>
      <c r="D12" s="12">
        <f>(D4-D5)/D10</f>
        <v>37.965000000000003</v>
      </c>
      <c r="E12" s="10"/>
      <c r="F12" s="10">
        <f>AVERAGE(B12:D12)</f>
        <v>38.457553763440863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30.75">
      <c r="A13" s="15" t="s">
        <v>39</v>
      </c>
      <c r="B13" s="12">
        <f>(B4-B5-B6)/B10</f>
        <v>77.407661290322579</v>
      </c>
      <c r="C13" s="60">
        <v>0</v>
      </c>
      <c r="D13" s="12">
        <f>(D4-D5-D6)/D10</f>
        <v>37.965000000000003</v>
      </c>
      <c r="E13" s="10"/>
      <c r="F13" s="10">
        <f>AVERAGE(B13:D13)</f>
        <v>38.457553763440863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s="14" customFormat="1" ht="5.45" customHeight="1">
      <c r="A14" s="13"/>
      <c r="B14" s="13"/>
      <c r="C14" s="13"/>
      <c r="D14" s="13"/>
    </row>
    <row r="15" spans="1:28" ht="30.75">
      <c r="A15" s="15" t="s">
        <v>40</v>
      </c>
      <c r="B15" s="12">
        <f>B11-B13</f>
        <v>0</v>
      </c>
      <c r="C15" s="60">
        <f t="shared" ref="C15" si="1">C11-C13</f>
        <v>0</v>
      </c>
      <c r="D15" s="12">
        <f>D11-D13</f>
        <v>0</v>
      </c>
      <c r="E15" s="10"/>
      <c r="F15" s="10">
        <f>SUM(B15:D15)</f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30.75">
      <c r="A16" s="15" t="s">
        <v>41</v>
      </c>
      <c r="B16" s="12">
        <f>B12-B13</f>
        <v>0</v>
      </c>
      <c r="C16" s="60">
        <f t="shared" ref="C16" si="2">C12-C13</f>
        <v>0</v>
      </c>
      <c r="D16" s="12">
        <f>D12-D13</f>
        <v>0</v>
      </c>
      <c r="E16" s="10"/>
      <c r="F16" s="10">
        <f>SUM(B16:D16)</f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>
      <c r="A17" s="40" t="s">
        <v>42</v>
      </c>
      <c r="B17" s="41">
        <f>B4/B10</f>
        <v>77.407661290322579</v>
      </c>
      <c r="C17" s="62">
        <v>0</v>
      </c>
      <c r="D17" s="41">
        <f t="shared" ref="D17" si="3">D4/D10</f>
        <v>37.965000000000003</v>
      </c>
      <c r="E17" s="10"/>
      <c r="F17" s="10">
        <f>F4/F10</f>
        <v>77.55030042918456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9" spans="1:28">
      <c r="A19" s="22" t="s">
        <v>43</v>
      </c>
      <c r="B19" s="22" t="s">
        <v>2</v>
      </c>
      <c r="C19" s="22" t="s">
        <v>64</v>
      </c>
      <c r="D19" s="22" t="s">
        <v>75</v>
      </c>
      <c r="F19" s="2"/>
    </row>
    <row r="20" spans="1:28" ht="88.5" customHeight="1">
      <c r="A20" s="23" t="s">
        <v>15</v>
      </c>
      <c r="B20" s="24" t="s">
        <v>16</v>
      </c>
      <c r="C20" s="24" t="s">
        <v>65</v>
      </c>
      <c r="D20" s="24" t="s">
        <v>65</v>
      </c>
      <c r="F20" s="5"/>
      <c r="N20" s="19"/>
    </row>
    <row r="21" spans="1:28">
      <c r="A21" s="25" t="s">
        <v>17</v>
      </c>
      <c r="B21" s="33" t="s">
        <v>18</v>
      </c>
      <c r="C21" s="33" t="s">
        <v>18</v>
      </c>
      <c r="D21" s="33" t="s">
        <v>76</v>
      </c>
      <c r="F21" s="7"/>
    </row>
    <row r="22" spans="1:28" s="16" customFormat="1">
      <c r="A22" s="26" t="s">
        <v>44</v>
      </c>
      <c r="B22" s="27">
        <v>136603.5</v>
      </c>
      <c r="C22" s="27">
        <v>37236.589999999997</v>
      </c>
      <c r="D22" s="27">
        <v>3778.3</v>
      </c>
      <c r="F22" s="16">
        <f>SUM(B22:D22)</f>
        <v>177618.38999999998</v>
      </c>
    </row>
    <row r="23" spans="1:28" s="18" customFormat="1">
      <c r="A23" s="28" t="s">
        <v>45</v>
      </c>
      <c r="B23" s="29">
        <v>0.1203</v>
      </c>
      <c r="C23" s="29">
        <v>0.1321</v>
      </c>
      <c r="D23" s="29">
        <v>0.1343</v>
      </c>
      <c r="F23" s="18">
        <f>AVERAGE(B23:D23)</f>
        <v>0.12890000000000001</v>
      </c>
    </row>
    <row r="24" spans="1:28">
      <c r="A24" s="30" t="s">
        <v>46</v>
      </c>
      <c r="B24" s="31">
        <v>2112</v>
      </c>
      <c r="C24" s="31">
        <v>431</v>
      </c>
      <c r="D24" s="31">
        <v>51</v>
      </c>
      <c r="F24" s="21">
        <f>SUM(B24:D24)</f>
        <v>2594</v>
      </c>
    </row>
    <row r="25" spans="1:28" ht="15" customHeight="1">
      <c r="A25" s="34" t="s">
        <v>47</v>
      </c>
      <c r="B25" s="27"/>
      <c r="C25" s="27"/>
      <c r="D25" s="27"/>
      <c r="F25" s="35">
        <f>SUM(B25:D25)</f>
        <v>0</v>
      </c>
    </row>
    <row r="26" spans="1:28" ht="15" customHeight="1">
      <c r="A26" s="34" t="s">
        <v>42</v>
      </c>
      <c r="B26" s="37">
        <f t="shared" ref="B26:D26" si="4">B22/B24</f>
        <v>64.6796875</v>
      </c>
      <c r="C26" s="37">
        <f t="shared" si="4"/>
        <v>86.395800464037109</v>
      </c>
      <c r="D26" s="37">
        <f t="shared" si="4"/>
        <v>74.084313725490205</v>
      </c>
      <c r="F26" s="36">
        <f>F22/F24</f>
        <v>68.47277949113338</v>
      </c>
    </row>
  </sheetData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36FCFC3800084F925CBDE9DDE5AFD9" ma:contentTypeVersion="20" ma:contentTypeDescription="Create a new document." ma:contentTypeScope="" ma:versionID="9eb45a639f679df329e0aa35bc3d1390">
  <xsd:schema xmlns:xsd="http://www.w3.org/2001/XMLSchema" xmlns:xs="http://www.w3.org/2001/XMLSchema" xmlns:p="http://schemas.microsoft.com/office/2006/metadata/properties" xmlns:ns1="http://schemas.microsoft.com/sharepoint/v3" xmlns:ns2="ff101762-23d1-4ba0-9cbe-7a45c59d2c20" xmlns:ns3="aec28e0a-ab32-4f87-a753-0b9a60fcea8a" xmlns:ns4="e977b2b5-3911-4478-b2ae-72d10252f2ad" targetNamespace="http://schemas.microsoft.com/office/2006/metadata/properties" ma:root="true" ma:fieldsID="edca9a41ac043bc20b80cbcdb8ccb3ae" ns1:_="" ns2:_="" ns3:_="" ns4:_="">
    <xsd:import namespace="http://schemas.microsoft.com/sharepoint/v3"/>
    <xsd:import namespace="ff101762-23d1-4ba0-9cbe-7a45c59d2c20"/>
    <xsd:import namespace="aec28e0a-ab32-4f87-a753-0b9a60fcea8a"/>
    <xsd:import namespace="e977b2b5-3911-4478-b2ae-72d10252f2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1:LikesCount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1:_ip_UnifiedCompliancePolicyProperties" minOccurs="0"/>
                <xsd:element ref="ns1:_ip_UnifiedCompliancePolicyUIAction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  <xsd:element ref="ns4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11" nillable="true" ma:displayName="Number of Likes" ma:internalName="LikesCount">
      <xsd:simpleType>
        <xsd:restriction base="dms:Unknown"/>
      </xsd:simpleType>
    </xsd:element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01762-23d1-4ba0-9cbe-7a45c59d2c2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28e0a-ab32-4f87-a753-0b9a60fcea8a" elementFormDefault="qualified">
    <xsd:import namespace="http://schemas.microsoft.com/office/2006/documentManagement/types"/>
    <xsd:import namespace="http://schemas.microsoft.com/office/infopath/2007/PartnerControls"/>
    <xsd:element name="LastSharedByUser" ma:index="12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3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31" nillable="true" ma:displayName="Taxonomy Catch All Column" ma:hidden="true" ma:list="{91c5a65a-e816-45e1-ae98-53b72d7d2d0a}" ma:internalName="TaxCatchAll" ma:showField="CatchAllData" ma:web="aec28e0a-ab32-4f87-a753-0b9a60fcea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77b2b5-3911-4478-b2ae-72d10252f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6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cd2f6036-0c38-4e64-9a14-852f306418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_ip_UnifiedCompliancePolicyUIAction xmlns="http://schemas.microsoft.com/sharepoint/v3" xsi:nil="true"/>
    <_ip_UnifiedCompliancePolicyProperties xmlns="http://schemas.microsoft.com/sharepoint/v3" xsi:nil="true"/>
    <SharedWithUsers xmlns="ff101762-23d1-4ba0-9cbe-7a45c59d2c20">
      <UserInfo>
        <DisplayName>Bennett, Faith</DisplayName>
        <AccountId>2985</AccountId>
        <AccountType/>
      </UserInfo>
      <UserInfo>
        <DisplayName>Kersey, Courtney</DisplayName>
        <AccountId>510</AccountId>
        <AccountType/>
      </UserInfo>
      <UserInfo>
        <DisplayName>Hanzelko, Tim</DisplayName>
        <AccountId>5613</AccountId>
        <AccountType/>
      </UserInfo>
      <UserInfo>
        <DisplayName>Rohlfing, Chelsea</DisplayName>
        <AccountId>70</AccountId>
        <AccountType/>
      </UserInfo>
      <UserInfo>
        <DisplayName>Kelly, Sean</DisplayName>
        <AccountId>2272</AccountId>
        <AccountType/>
      </UserInfo>
      <UserInfo>
        <DisplayName>Lytle, Mary</DisplayName>
        <AccountId>7704</AccountId>
        <AccountType/>
      </UserInfo>
      <UserInfo>
        <DisplayName>Bowes, Lisa</DisplayName>
        <AccountId>30</AccountId>
        <AccountType/>
      </UserInfo>
      <UserInfo>
        <DisplayName>Prowse, Amanda</DisplayName>
        <AccountId>15379</AccountId>
        <AccountType/>
      </UserInfo>
    </SharedWithUsers>
    <lcf76f155ced4ddcb4097134ff3c332f xmlns="e977b2b5-3911-4478-b2ae-72d10252f2ad">
      <Terms xmlns="http://schemas.microsoft.com/office/infopath/2007/PartnerControls"/>
    </lcf76f155ced4ddcb4097134ff3c332f>
    <TaxCatchAll xmlns="aec28e0a-ab32-4f87-a753-0b9a60fcea8a" xsi:nil="true"/>
  </documentManagement>
</p:properties>
</file>

<file path=customXml/itemProps1.xml><?xml version="1.0" encoding="utf-8"?>
<ds:datastoreItem xmlns:ds="http://schemas.openxmlformats.org/officeDocument/2006/customXml" ds:itemID="{2B314ED2-C3CB-4601-913C-3713A71D5A4E}"/>
</file>

<file path=customXml/itemProps2.xml><?xml version="1.0" encoding="utf-8"?>
<ds:datastoreItem xmlns:ds="http://schemas.openxmlformats.org/officeDocument/2006/customXml" ds:itemID="{D352E424-7093-4637-84EC-DFB22A7ABF48}"/>
</file>

<file path=customXml/itemProps3.xml><?xml version="1.0" encoding="utf-8"?>
<ds:datastoreItem xmlns:ds="http://schemas.openxmlformats.org/officeDocument/2006/customXml" ds:itemID="{058A1822-66F5-4052-81F1-71276EF18B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Hanzelko, Tim</dc:creator>
  <cp:keywords/>
  <dc:description/>
  <cp:lastModifiedBy>Hanzelko, Tim</cp:lastModifiedBy>
  <cp:revision/>
  <dcterms:created xsi:type="dcterms:W3CDTF">2021-08-06T14:22:02Z</dcterms:created>
  <dcterms:modified xsi:type="dcterms:W3CDTF">2026-04-13T13:59:32Z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0x010100B936FCFC3800084F925CBDE9DDE5AFD9</vt:lpwstr>
  </property>
  <property fmtid="{D5CDD505-2E9C-101B-9397-08002B2CF9AE}" pid="3" name="MediaServiceImageTags">
    <vt:lpwstr/>
  </property>
</Properties>
</file>